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1b1d2b6b5a8486/Desktop/Projetos/"/>
    </mc:Choice>
  </mc:AlternateContent>
  <xr:revisionPtr revIDLastSave="0" documentId="8_{BC5B2134-CF0E-4C80-8C65-777A49DA28DC}" xr6:coauthVersionLast="47" xr6:coauthVersionMax="47" xr10:uidLastSave="{00000000-0000-0000-0000-000000000000}"/>
  <bookViews>
    <workbookView xWindow="-120" yWindow="-120" windowWidth="29040" windowHeight="15840" activeTab="2" xr2:uid="{5B6E3270-9FC9-4322-B78E-1BE880C79F2F}"/>
  </bookViews>
  <sheets>
    <sheet name="CONTROLE .2" sheetId="10" r:id="rId1"/>
    <sheet name="Planilha3" sheetId="14" r:id="rId2"/>
    <sheet name="ANALISE" sheetId="12" r:id="rId3"/>
    <sheet name="MALA DIRETA ZAP" sheetId="9" r:id="rId4"/>
    <sheet name="DASHBORD" sheetId="13" r:id="rId5"/>
    <sheet name="MENSAGENS DO ZAP" sheetId="11" r:id="rId6"/>
  </sheets>
  <definedNames>
    <definedName name="SegmentaçãodeDados_Status">#N/A</definedName>
  </definedNames>
  <calcPr calcId="191029"/>
  <pivotCaches>
    <pivotCache cacheId="2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2" i="10" l="1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E38" i="10"/>
  <c r="F38" i="10"/>
  <c r="G38" i="10"/>
  <c r="H38" i="10"/>
  <c r="I38" i="10"/>
  <c r="J38" i="10"/>
  <c r="K38" i="10"/>
  <c r="N38" i="10"/>
  <c r="F5" i="9" l="1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4" i="9"/>
  <c r="O38" i="10"/>
  <c r="L5" i="10"/>
  <c r="L8" i="10"/>
  <c r="L9" i="10"/>
  <c r="L12" i="10"/>
  <c r="L13" i="10"/>
  <c r="L16" i="10"/>
  <c r="L17" i="10"/>
  <c r="L20" i="10"/>
  <c r="L3" i="10"/>
  <c r="L6" i="10"/>
  <c r="L7" i="10"/>
  <c r="L10" i="10"/>
  <c r="L11" i="10"/>
  <c r="L14" i="10"/>
  <c r="L15" i="10"/>
  <c r="L18" i="10"/>
  <c r="L19" i="10"/>
  <c r="L2" i="10"/>
  <c r="M4" i="10"/>
  <c r="L21" i="10"/>
  <c r="M3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 l="1"/>
  <c r="L4" i="10"/>
  <c r="L38" i="10" s="1"/>
  <c r="Q3" i="10"/>
  <c r="M2" i="10"/>
  <c r="M38" i="10" s="1"/>
  <c r="Q6" i="10" l="1"/>
</calcChain>
</file>

<file path=xl/sharedStrings.xml><?xml version="1.0" encoding="utf-8"?>
<sst xmlns="http://schemas.openxmlformats.org/spreadsheetml/2006/main" count="266" uniqueCount="121">
  <si>
    <t>RESPONSAVEL</t>
  </si>
  <si>
    <t>TELEFONES</t>
  </si>
  <si>
    <t>SITUAÇÃO</t>
  </si>
  <si>
    <t>Rótulos de Linha</t>
  </si>
  <si>
    <t>Total Geral</t>
  </si>
  <si>
    <t>ENVIAR</t>
  </si>
  <si>
    <t>MENSAGEM</t>
  </si>
  <si>
    <t>Prezado(a) Sr.(a),</t>
  </si>
  <si>
    <t>MALA WHATS</t>
  </si>
  <si>
    <t>Responsável</t>
  </si>
  <si>
    <t>Telefone</t>
  </si>
  <si>
    <t>Data de Vencimento</t>
  </si>
  <si>
    <t>Valor Mensal</t>
  </si>
  <si>
    <t>Fevereiro</t>
  </si>
  <si>
    <t>Março</t>
  </si>
  <si>
    <t>Abril</t>
  </si>
  <si>
    <t>Maio</t>
  </si>
  <si>
    <t>Valor Pago</t>
  </si>
  <si>
    <t>Total em Aberto</t>
  </si>
  <si>
    <t>Dias em Atraso</t>
  </si>
  <si>
    <t>Status</t>
  </si>
  <si>
    <t>Último Contato</t>
  </si>
  <si>
    <t>Observações</t>
  </si>
  <si>
    <t>Total geral em atraso:</t>
  </si>
  <si>
    <t>Quantidade de inadimplentes:</t>
  </si>
  <si>
    <t>Junho</t>
  </si>
  <si>
    <t>Total</t>
  </si>
  <si>
    <t>MENSAGENS PARA ZAP</t>
  </si>
  <si>
    <t>TIPO</t>
  </si>
  <si>
    <t>COBRANÇA</t>
  </si>
  <si>
    <t>TEXTO</t>
  </si>
  <si>
    <t>OBS</t>
  </si>
  <si>
    <t>Tamiris</t>
  </si>
  <si>
    <t>Coluna1</t>
  </si>
  <si>
    <t>Coluna2</t>
  </si>
  <si>
    <t>Coluna3</t>
  </si>
  <si>
    <t>Coluna4</t>
  </si>
  <si>
    <t>Coluna5</t>
  </si>
  <si>
    <t>Coluna6</t>
  </si>
  <si>
    <t>Manoela</t>
  </si>
  <si>
    <t>Larissa</t>
  </si>
  <si>
    <t>Luciano</t>
  </si>
  <si>
    <t>Theo</t>
  </si>
  <si>
    <t>Rodrigo</t>
  </si>
  <si>
    <t>Ricardo</t>
  </si>
  <si>
    <t>Janaina</t>
  </si>
  <si>
    <t>Manoel</t>
  </si>
  <si>
    <t>Pulo</t>
  </si>
  <si>
    <t>Rose</t>
  </si>
  <si>
    <t>Luiz</t>
  </si>
  <si>
    <t>Caio</t>
  </si>
  <si>
    <t>(vazio)</t>
  </si>
  <si>
    <t>Carla Souza</t>
  </si>
  <si>
    <t>Ana Beatriz Souza</t>
  </si>
  <si>
    <t>Pedro Henrique Lima</t>
  </si>
  <si>
    <t>Júlia Fernandes</t>
  </si>
  <si>
    <t>Lucas Oliveira</t>
  </si>
  <si>
    <t>Mariana Costa</t>
  </si>
  <si>
    <t>Rafael Martins</t>
  </si>
  <si>
    <t>Bianca Rocha</t>
  </si>
  <si>
    <t>Gabriel Santos</t>
  </si>
  <si>
    <t>Sofia Almeida</t>
  </si>
  <si>
    <t>Gustavo Carvalho</t>
  </si>
  <si>
    <t>Isabela Torres</t>
  </si>
  <si>
    <t>Matheus Ribeiro</t>
  </si>
  <si>
    <t>Camila Duarte</t>
  </si>
  <si>
    <t>Felipe Nogueira</t>
  </si>
  <si>
    <t>Larissa Pires</t>
  </si>
  <si>
    <t>Thiago Barros</t>
  </si>
  <si>
    <t>Vitória Mendes</t>
  </si>
  <si>
    <t>Leonardo Correia</t>
  </si>
  <si>
    <t>Luana Azevedo</t>
  </si>
  <si>
    <t>Daniel Teixeira</t>
  </si>
  <si>
    <t>Carolina Prado</t>
  </si>
  <si>
    <t>Vinícius Moraes</t>
  </si>
  <si>
    <t>Gabriela Cunha</t>
  </si>
  <si>
    <t>Henrique Batista</t>
  </si>
  <si>
    <t>Amanda Silveira</t>
  </si>
  <si>
    <t>Eduardo Farias</t>
  </si>
  <si>
    <t>Patrícia Gomes</t>
  </si>
  <si>
    <t>Rodrigo Monteiro</t>
  </si>
  <si>
    <t>Letícia Barcellos</t>
  </si>
  <si>
    <t>Marcos Lima</t>
  </si>
  <si>
    <t>Patrícia Fernandes</t>
  </si>
  <si>
    <t>Ricardo Oliveira</t>
  </si>
  <si>
    <t>Fernanda Costa</t>
  </si>
  <si>
    <t>André Martins</t>
  </si>
  <si>
    <t>Simone Rocha</t>
  </si>
  <si>
    <t>Daniela Santos</t>
  </si>
  <si>
    <t>Roberto Almeida</t>
  </si>
  <si>
    <t>Paula Carvalho</t>
  </si>
  <si>
    <t>Tatiana Torres</t>
  </si>
  <si>
    <t>João Ribeiro</t>
  </si>
  <si>
    <t>Sandra Duarte</t>
  </si>
  <si>
    <t>Sérgio Nogueira</t>
  </si>
  <si>
    <t>Cláudia Pires</t>
  </si>
  <si>
    <t>Eduardo Barros</t>
  </si>
  <si>
    <t>Juliana Mendes</t>
  </si>
  <si>
    <t>Adriana Correia</t>
  </si>
  <si>
    <t>Fábio Azevedo</t>
  </si>
  <si>
    <t>Helena Teixeira</t>
  </si>
  <si>
    <t>Mônica Prado</t>
  </si>
  <si>
    <t>Alexandre Moraes</t>
  </si>
  <si>
    <t>Luciana Cunha</t>
  </si>
  <si>
    <t>Rogério Batista</t>
  </si>
  <si>
    <t>Márcia Silveira</t>
  </si>
  <si>
    <t>Cláudio Farias</t>
  </si>
  <si>
    <t>Sônia Gomes</t>
  </si>
  <si>
    <t>Felipe Monteiro</t>
  </si>
  <si>
    <t>Renata Barcellos</t>
  </si>
  <si>
    <t>Soma de Total em Aberto</t>
  </si>
  <si>
    <t>Soma de Valor Pago</t>
  </si>
  <si>
    <t>Soma de Dias em Atraso</t>
  </si>
  <si>
    <t>Soma de Data de Vencimento</t>
  </si>
  <si>
    <t>EM ATRASO</t>
  </si>
  <si>
    <t>EM DIA</t>
  </si>
  <si>
    <t>Soma de Fevereiro</t>
  </si>
  <si>
    <t>Soma de Março</t>
  </si>
  <si>
    <t>Soma de Abril</t>
  </si>
  <si>
    <t>Soma de Maio</t>
  </si>
  <si>
    <t>Soma de 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</si>
</sst>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0;[Red]0"/>
    <numFmt numFmtId="167" formatCode="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u/>
      <sz val="10.45"/>
      <color theme="10"/>
      <name val="Calibri"/>
      <family val="2"/>
    </font>
    <font>
      <b/>
      <sz val="11"/>
      <color theme="1"/>
      <name val="Arial Black"/>
      <family val="2"/>
    </font>
    <font>
      <b/>
      <sz val="11"/>
      <color rgb="FFC00000"/>
      <name val="Aptos Narrow"/>
      <family val="2"/>
      <scheme val="minor"/>
    </font>
    <font>
      <b/>
      <sz val="11"/>
      <color theme="9" tint="-0.249977111117893"/>
      <name val="Arial"/>
      <family val="2"/>
    </font>
    <font>
      <b/>
      <sz val="11"/>
      <color theme="1"/>
      <name val="Arial"/>
      <family val="2"/>
    </font>
    <font>
      <b/>
      <sz val="11"/>
      <color rgb="FF002060"/>
      <name val="Arial"/>
      <family val="2"/>
    </font>
    <font>
      <b/>
      <sz val="11"/>
      <color rgb="FFC0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9" xfId="0" applyBorder="1"/>
    <xf numFmtId="0" fontId="0" fillId="0" borderId="10" xfId="0" applyBorder="1"/>
    <xf numFmtId="0" fontId="2" fillId="0" borderId="1" xfId="0" applyFont="1" applyBorder="1"/>
    <xf numFmtId="0" fontId="0" fillId="0" borderId="2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44" fontId="8" fillId="0" borderId="1" xfId="3" applyFont="1" applyBorder="1"/>
    <xf numFmtId="0" fontId="9" fillId="0" borderId="1" xfId="0" applyFont="1" applyBorder="1" applyAlignment="1">
      <alignment horizontal="center"/>
    </xf>
    <xf numFmtId="44" fontId="10" fillId="0" borderId="1" xfId="3" applyFont="1" applyBorder="1"/>
    <xf numFmtId="44" fontId="9" fillId="0" borderId="1" xfId="3" applyFont="1" applyBorder="1"/>
    <xf numFmtId="44" fontId="11" fillId="0" borderId="1" xfId="0" applyNumberFormat="1" applyFont="1" applyBorder="1"/>
    <xf numFmtId="0" fontId="9" fillId="0" borderId="1" xfId="0" applyFont="1" applyBorder="1"/>
    <xf numFmtId="44" fontId="11" fillId="0" borderId="1" xfId="3" applyFont="1" applyBorder="1"/>
    <xf numFmtId="0" fontId="7" fillId="0" borderId="1" xfId="0" applyFont="1" applyBorder="1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4" xfId="0" applyBorder="1" applyAlignment="1"/>
    <xf numFmtId="0" fontId="0" fillId="0" borderId="2" xfId="0" applyBorder="1" applyAlignment="1">
      <alignment horizontal="center"/>
    </xf>
    <xf numFmtId="0" fontId="5" fillId="0" borderId="2" xfId="2" applyBorder="1" applyAlignment="1" applyProtection="1"/>
    <xf numFmtId="0" fontId="4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44" fontId="0" fillId="0" borderId="9" xfId="0" applyNumberFormat="1" applyFont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44" fontId="9" fillId="0" borderId="9" xfId="3" applyFont="1" applyBorder="1"/>
    <xf numFmtId="44" fontId="8" fillId="0" borderId="9" xfId="3" applyFont="1" applyBorder="1"/>
    <xf numFmtId="44" fontId="12" fillId="0" borderId="1" xfId="3" applyFont="1" applyBorder="1"/>
    <xf numFmtId="44" fontId="12" fillId="0" borderId="9" xfId="3" applyFont="1" applyBorder="1"/>
    <xf numFmtId="0" fontId="13" fillId="0" borderId="1" xfId="0" applyFont="1" applyBorder="1"/>
    <xf numFmtId="0" fontId="13" fillId="0" borderId="9" xfId="0" applyFont="1" applyBorder="1"/>
    <xf numFmtId="0" fontId="0" fillId="0" borderId="0" xfId="0" applyAlignment="1">
      <alignment horizontal="left" indent="1"/>
    </xf>
    <xf numFmtId="9" fontId="0" fillId="0" borderId="0" xfId="0" applyNumberFormat="1"/>
  </cellXfs>
  <cellStyles count="4">
    <cellStyle name="Hiperlink" xfId="2" builtinId="8"/>
    <cellStyle name="Moeda" xfId="3" builtinId="4"/>
    <cellStyle name="Normal" xfId="0" builtinId="0"/>
    <cellStyle name="Normal 2" xfId="1" xr:uid="{06970840-CE74-406B-883C-30E8181882A1}"/>
  </cellStyles>
  <dxfs count="171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13" formatCode="0%"/>
    </dxf>
    <dxf>
      <numFmt numFmtId="13" formatCode="0%"/>
    </dxf>
    <dxf>
      <numFmt numFmtId="34" formatCode="_-&quot;R$&quot;\ * #,##0.00_-;\-&quot;R$&quot;\ * #,##0.00_-;_-&quot;R$&quot;\ * &quot;-&quot;??_-;_-@_-"/>
    </dxf>
    <dxf>
      <font>
        <b/>
        <i val="0"/>
        <color theme="9" tint="-0.499984740745262"/>
      </font>
      <fill>
        <patternFill>
          <fgColor theme="9"/>
        </patternFill>
      </fill>
    </dxf>
    <dxf>
      <font>
        <b/>
        <i val="0"/>
        <color theme="9" tint="-0.499984740745262"/>
      </font>
      <fill>
        <patternFill patternType="solid">
          <fgColor theme="9" tint="0.79998168889431442"/>
        </patternFill>
      </fill>
    </dxf>
    <dxf>
      <font>
        <b/>
        <i val="0"/>
        <color auto="1"/>
      </font>
      <fill>
        <patternFill patternType="solid">
          <fgColor rgb="FFFF00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 patternType="solid">
          <fgColor theme="9" tint="-0.24994659260841701"/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4" formatCode="_-&quot;R$&quot;\ * #,##0.00_-;\-&quot;R$&quot;\ * #,##0.00_-;_-&quot;R$&quot;\ * &quot;-&quot;??_-;_-@_-"/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249977111117893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1"/>
      </font>
      <fill>
        <patternFill>
          <bgColor theme="9" tint="0.79998168889431442"/>
        </patternFill>
      </fill>
    </dxf>
    <dxf>
      <fill>
        <patternFill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2" defaultTableStyle="TableStyleMedium2" defaultPivotStyle="PivotStyleLight16">
    <tableStyle name="Estilo de Tabela 1" pivot="0" count="1" xr9:uid="{95326A2A-140D-4FF9-87DB-C415160EAE49}">
      <tableStyleElement type="wholeTable" dxfId="170"/>
    </tableStyle>
    <tableStyle name="Estilo de Tabela 2" pivot="0" count="1" xr9:uid="{D0E94C70-0CEA-4C86-A3E4-943E1EC25B82}">
      <tableStyleElement type="firstColumnStripe" dxfId="16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EM EXCEL COM DASHBORD INTERATIVO ESCOLAR.xlsx]ANALISE!Tabela dinâmica5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ANALISE!$A$9</c:f>
              <c:strCache>
                <c:ptCount val="1"/>
                <c:pt idx="0">
                  <c:v>Soma de Fevereiro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ANALISE!$A$10</c:f>
              <c:numCache>
                <c:formatCode>_("R$"* #,##0.00_);_("R$"* \(#,##0.00\);_("R$"* "-"??_);_(@_)</c:formatCode>
                <c:ptCount val="1"/>
                <c:pt idx="0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0-4C85-8619-0EADDF7D0017}"/>
            </c:ext>
          </c:extLst>
        </c:ser>
        <c:ser>
          <c:idx val="1"/>
          <c:order val="1"/>
          <c:tx>
            <c:strRef>
              <c:f>ANALISE!$B$9</c:f>
              <c:strCache>
                <c:ptCount val="1"/>
                <c:pt idx="0">
                  <c:v>Soma de Março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ANALISE!$B$10</c:f>
              <c:numCache>
                <c:formatCode>_("R$"* #,##0.00_);_("R$"* \(#,##0.00\);_("R$"* "-"??_);_(@_)</c:formatCode>
                <c:ptCount val="1"/>
                <c:pt idx="0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0-4C85-8619-0EADDF7D0017}"/>
            </c:ext>
          </c:extLst>
        </c:ser>
        <c:ser>
          <c:idx val="2"/>
          <c:order val="2"/>
          <c:tx>
            <c:strRef>
              <c:f>ANALISE!$C$9</c:f>
              <c:strCache>
                <c:ptCount val="1"/>
                <c:pt idx="0">
                  <c:v>Soma de Abril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ANALISE!$C$10</c:f>
              <c:numCache>
                <c:formatCode>_("R$"* #,##0.00_);_("R$"* \(#,##0.00\);_("R$"* "-"??_);_(@_)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40-4C85-8619-0EADDF7D0017}"/>
            </c:ext>
          </c:extLst>
        </c:ser>
        <c:ser>
          <c:idx val="3"/>
          <c:order val="3"/>
          <c:tx>
            <c:strRef>
              <c:f>ANALISE!$D$9</c:f>
              <c:strCache>
                <c:ptCount val="1"/>
                <c:pt idx="0">
                  <c:v>Soma de Maio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ANALISE!$D$10</c:f>
              <c:numCache>
                <c:formatCode>_("R$"* #,##0.00_);_("R$"* \(#,##0.00\);_("R$"* "-"??_);_(@_)</c:formatCode>
                <c:ptCount val="1"/>
                <c:pt idx="0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40-4C85-8619-0EADDF7D0017}"/>
            </c:ext>
          </c:extLst>
        </c:ser>
        <c:ser>
          <c:idx val="4"/>
          <c:order val="4"/>
          <c:tx>
            <c:strRef>
              <c:f>ANALISE!$E$9</c:f>
              <c:strCache>
                <c:ptCount val="1"/>
                <c:pt idx="0">
                  <c:v>Soma de Junho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ANALISE!$E$10</c:f>
              <c:numCache>
                <c:formatCode>_("R$"* #,##0.00_);_("R$"* \(#,##0.00\);_("R$"* "-"??_);_(@_)</c:formatCode>
                <c:ptCount val="1"/>
                <c:pt idx="0">
                  <c:v>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40-4C85-8619-0EADDF7D00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98981328"/>
        <c:axId val="1198989488"/>
      </c:barChart>
      <c:catAx>
        <c:axId val="11989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8989488"/>
        <c:crosses val="autoZero"/>
        <c:auto val="1"/>
        <c:lblAlgn val="ctr"/>
        <c:lblOffset val="100"/>
        <c:noMultiLvlLbl val="0"/>
      </c:catAx>
      <c:valAx>
        <c:axId val="1198989488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898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EM EXCEL COM DASHBORD INTERATIVO ESCOLAR.xlsx]ANALISE!Tabela dinâmica7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83136482939633"/>
          <c:y val="0.12860892388451445"/>
          <c:w val="0.44872419072615921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ANALISE!$H$9</c:f>
              <c:strCache>
                <c:ptCount val="1"/>
                <c:pt idx="0">
                  <c:v>Soma de Data de Vencimento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ANALISE!$G$10:$G$11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ANALISE!$H$10:$H$11</c:f>
              <c:numCache>
                <c:formatCode>_("R$"* #,##0.00_);_("R$"* \(#,##0.00\);_("R$"* "-"??_);_(@_)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1-4BA3-87A0-ED4653C76B11}"/>
            </c:ext>
          </c:extLst>
        </c:ser>
        <c:ser>
          <c:idx val="1"/>
          <c:order val="1"/>
          <c:tx>
            <c:strRef>
              <c:f>ANALISE!$I$9</c:f>
              <c:strCache>
                <c:ptCount val="1"/>
                <c:pt idx="0">
                  <c:v>Soma de Valor Pago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ANALISE!$G$10:$G$11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ANALISE!$I$10:$I$11</c:f>
              <c:numCache>
                <c:formatCode>_("R$"* #,##0.00_);_("R$"* \(#,##0.00\);_("R$"* "-"??_);_(@_)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1-4BA3-87A0-ED4653C76B11}"/>
            </c:ext>
          </c:extLst>
        </c:ser>
        <c:ser>
          <c:idx val="2"/>
          <c:order val="2"/>
          <c:tx>
            <c:strRef>
              <c:f>ANALISE!$J$9</c:f>
              <c:strCache>
                <c:ptCount val="1"/>
                <c:pt idx="0">
                  <c:v>Soma de Total em Aberto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ANALISE!$G$10:$G$11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ANALISE!$J$10:$J$11</c:f>
              <c:numCache>
                <c:formatCode>_("R$"* #,##0.00_);_("R$"* \(#,##0.00\);_("R$"* "-"??_);_(@_)</c:formatCode>
                <c:ptCount val="1"/>
                <c:pt idx="0">
                  <c:v>4180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A1-4BA3-87A0-ED4653C76B11}"/>
            </c:ext>
          </c:extLst>
        </c:ser>
        <c:ser>
          <c:idx val="3"/>
          <c:order val="3"/>
          <c:tx>
            <c:strRef>
              <c:f>ANALISE!$K$9</c:f>
              <c:strCache>
                <c:ptCount val="1"/>
                <c:pt idx="0">
                  <c:v>Soma de Dias em Atraso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ANALISE!$G$10:$G$11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ANALISE!$K$10:$K$11</c:f>
              <c:numCache>
                <c:formatCode>_("R$"* #,##0.00_);_("R$"* \(#,##0.00\);_("R$"* "-"??_);_(@_)</c:formatCode>
                <c:ptCount val="1"/>
                <c:pt idx="0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A1-4BA3-87A0-ED4653C76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235328"/>
        <c:axId val="1056237728"/>
      </c:barChart>
      <c:catAx>
        <c:axId val="10562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237728"/>
        <c:crosses val="autoZero"/>
        <c:auto val="1"/>
        <c:lblAlgn val="ctr"/>
        <c:lblOffset val="100"/>
        <c:noMultiLvlLbl val="0"/>
      </c:catAx>
      <c:valAx>
        <c:axId val="105623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23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EM EXCEL COM DASHBORD INTERATIVO ESCOLAR.xlsx]ANALISE!Tabela dinâmica9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ANALISE!$A$28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ANALISE!$A$29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ANALISE!$A$29</c:f>
              <c:numCache>
                <c:formatCode>_("R$"* #,##0.00_);_("R$"* \(#,##0.00\);_("R$"* "-"??_);_(@_)</c:formatCode>
                <c:ptCount val="1"/>
                <c:pt idx="0">
                  <c:v>4180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E-4440-BE03-CE23973934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EM EXCEL COM DASHBORD INTERATIVO ESCOLAR.xlsx]ANALISE!Tabela dinâmica7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83136482939633"/>
          <c:y val="0.12860892388451445"/>
          <c:w val="0.44872419072615921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ANALISE!$H$9</c:f>
              <c:strCache>
                <c:ptCount val="1"/>
                <c:pt idx="0">
                  <c:v>Soma de Data de Vencimento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ANALISE!$G$10:$G$11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ANALISE!$H$10:$H$11</c:f>
              <c:numCache>
                <c:formatCode>_("R$"* #,##0.00_);_("R$"* \(#,##0.00\);_("R$"* "-"??_);_(@_)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7-468F-85E3-6961505E008F}"/>
            </c:ext>
          </c:extLst>
        </c:ser>
        <c:ser>
          <c:idx val="1"/>
          <c:order val="1"/>
          <c:tx>
            <c:strRef>
              <c:f>ANALISE!$I$9</c:f>
              <c:strCache>
                <c:ptCount val="1"/>
                <c:pt idx="0">
                  <c:v>Soma de Valor Pago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ANALISE!$G$10:$G$11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ANALISE!$I$10:$I$11</c:f>
              <c:numCache>
                <c:formatCode>_("R$"* #,##0.00_);_("R$"* \(#,##0.00\);_("R$"* "-"??_);_(@_)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7-468F-85E3-6961505E008F}"/>
            </c:ext>
          </c:extLst>
        </c:ser>
        <c:ser>
          <c:idx val="2"/>
          <c:order val="2"/>
          <c:tx>
            <c:strRef>
              <c:f>ANALISE!$J$9</c:f>
              <c:strCache>
                <c:ptCount val="1"/>
                <c:pt idx="0">
                  <c:v>Soma de Total em Aberto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ANALISE!$G$10:$G$11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ANALISE!$J$10:$J$11</c:f>
              <c:numCache>
                <c:formatCode>_("R$"* #,##0.00_);_("R$"* \(#,##0.00\);_("R$"* "-"??_);_(@_)</c:formatCode>
                <c:ptCount val="1"/>
                <c:pt idx="0">
                  <c:v>4180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D7-468F-85E3-6961505E008F}"/>
            </c:ext>
          </c:extLst>
        </c:ser>
        <c:ser>
          <c:idx val="3"/>
          <c:order val="3"/>
          <c:tx>
            <c:strRef>
              <c:f>ANALISE!$K$9</c:f>
              <c:strCache>
                <c:ptCount val="1"/>
                <c:pt idx="0">
                  <c:v>Soma de Dias em Atraso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ANALISE!$G$10:$G$11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ANALISE!$K$10:$K$11</c:f>
              <c:numCache>
                <c:formatCode>_("R$"* #,##0.00_);_("R$"* \(#,##0.00\);_("R$"* "-"??_);_(@_)</c:formatCode>
                <c:ptCount val="1"/>
                <c:pt idx="0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D7-468F-85E3-6961505E0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235328"/>
        <c:axId val="1056237728"/>
      </c:barChart>
      <c:catAx>
        <c:axId val="105623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237728"/>
        <c:crosses val="autoZero"/>
        <c:auto val="1"/>
        <c:lblAlgn val="ctr"/>
        <c:lblOffset val="100"/>
        <c:noMultiLvlLbl val="0"/>
      </c:catAx>
      <c:valAx>
        <c:axId val="105623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623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EM EXCEL COM DASHBORD INTERATIVO ESCOLAR.xlsx]ANALISE!Tabela dinâmica5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32182251728339"/>
          <c:y val="0.11472003499562555"/>
          <c:w val="0.64239068155696222"/>
          <c:h val="0.750473170020414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ANALISE!$A$9</c:f>
              <c:strCache>
                <c:ptCount val="1"/>
                <c:pt idx="0">
                  <c:v>Soma de Fevereiro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ANALISE!$A$10</c:f>
              <c:numCache>
                <c:formatCode>_("R$"* #,##0.00_);_("R$"* \(#,##0.00\);_("R$"* "-"??_);_(@_)</c:formatCode>
                <c:ptCount val="1"/>
                <c:pt idx="0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6-407B-8D97-7989F5CE4B9F}"/>
            </c:ext>
          </c:extLst>
        </c:ser>
        <c:ser>
          <c:idx val="1"/>
          <c:order val="1"/>
          <c:tx>
            <c:strRef>
              <c:f>ANALISE!$B$9</c:f>
              <c:strCache>
                <c:ptCount val="1"/>
                <c:pt idx="0">
                  <c:v>Soma de Março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ANALISE!$B$10</c:f>
              <c:numCache>
                <c:formatCode>_("R$"* #,##0.00_);_("R$"* \(#,##0.00\);_("R$"* "-"??_);_(@_)</c:formatCode>
                <c:ptCount val="1"/>
                <c:pt idx="0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6-407B-8D97-7989F5CE4B9F}"/>
            </c:ext>
          </c:extLst>
        </c:ser>
        <c:ser>
          <c:idx val="2"/>
          <c:order val="2"/>
          <c:tx>
            <c:strRef>
              <c:f>ANALISE!$C$9</c:f>
              <c:strCache>
                <c:ptCount val="1"/>
                <c:pt idx="0">
                  <c:v>Soma de Abril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ANALISE!$C$10</c:f>
              <c:numCache>
                <c:formatCode>_("R$"* #,##0.00_);_("R$"* \(#,##0.00\);_("R$"* "-"??_);_(@_)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6-407B-8D97-7989F5CE4B9F}"/>
            </c:ext>
          </c:extLst>
        </c:ser>
        <c:ser>
          <c:idx val="3"/>
          <c:order val="3"/>
          <c:tx>
            <c:strRef>
              <c:f>ANALISE!$D$9</c:f>
              <c:strCache>
                <c:ptCount val="1"/>
                <c:pt idx="0">
                  <c:v>Soma de Maio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ANALISE!$D$10</c:f>
              <c:numCache>
                <c:formatCode>_("R$"* #,##0.00_);_("R$"* \(#,##0.00\);_("R$"* "-"??_);_(@_)</c:formatCode>
                <c:ptCount val="1"/>
                <c:pt idx="0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6-407B-8D97-7989F5CE4B9F}"/>
            </c:ext>
          </c:extLst>
        </c:ser>
        <c:ser>
          <c:idx val="4"/>
          <c:order val="4"/>
          <c:tx>
            <c:strRef>
              <c:f>ANALISE!$E$9</c:f>
              <c:strCache>
                <c:ptCount val="1"/>
                <c:pt idx="0">
                  <c:v>Soma de Junho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ANALISE!$E$10</c:f>
              <c:numCache>
                <c:formatCode>_("R$"* #,##0.00_);_("R$"* \(#,##0.00\);_("R$"* "-"??_);_(@_)</c:formatCode>
                <c:ptCount val="1"/>
                <c:pt idx="0">
                  <c:v>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6-407B-8D97-7989F5CE4B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98981328"/>
        <c:axId val="1198989488"/>
      </c:barChart>
      <c:catAx>
        <c:axId val="11989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8989488"/>
        <c:crosses val="autoZero"/>
        <c:auto val="1"/>
        <c:lblAlgn val="ctr"/>
        <c:lblOffset val="100"/>
        <c:noMultiLvlLbl val="0"/>
      </c:catAx>
      <c:valAx>
        <c:axId val="1198989488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898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[PLANILHA EM EXCEL COM DASHBORD INTERATIVO ESCOLAR.xlsx]ANALISE!Tabela dinâmica9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</c:pivotFmts>
    <c:plotArea>
      <c:layout>
        <c:manualLayout>
          <c:layoutTarget val="inner"/>
          <c:xMode val="edge"/>
          <c:yMode val="edge"/>
          <c:x val="0.33916245543933876"/>
          <c:y val="0.18429206765820938"/>
          <c:w val="0.29272709070570158"/>
          <c:h val="0.61289734616506275"/>
        </c:manualLayout>
      </c:layout>
      <c:doughnutChart>
        <c:varyColors val="1"/>
        <c:ser>
          <c:idx val="0"/>
          <c:order val="0"/>
          <c:tx>
            <c:strRef>
              <c:f>ANALISE!$A$28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ANALISE!$A$29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ANALISE!$A$29</c:f>
              <c:numCache>
                <c:formatCode>_("R$"* #,##0.00_);_("R$"* \(#,##0.00\);_("R$"* "-"??_);_(@_)</c:formatCode>
                <c:ptCount val="1"/>
                <c:pt idx="0">
                  <c:v>4180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F8-4BC2-9955-0BAAF759AD7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5" Type="http://schemas.openxmlformats.org/officeDocument/2006/relationships/chart" Target="../charts/chart6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23812</xdr:rowOff>
    </xdr:from>
    <xdr:to>
      <xdr:col>4</xdr:col>
      <xdr:colOff>628650</xdr:colOff>
      <xdr:row>25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DDA6B2-AC9C-9A48-5933-33DB76E0B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438150</xdr:colOff>
      <xdr:row>11</xdr:row>
      <xdr:rowOff>157162</xdr:rowOff>
    </xdr:from>
    <xdr:to>
      <xdr:col>8</xdr:col>
      <xdr:colOff>952500</xdr:colOff>
      <xdr:row>26</xdr:row>
      <xdr:rowOff>42862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8DA0D8-1742-17A1-689B-C625C687A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1343025</xdr:colOff>
      <xdr:row>30</xdr:row>
      <xdr:rowOff>109537</xdr:rowOff>
    </xdr:from>
    <xdr:to>
      <xdr:col>5</xdr:col>
      <xdr:colOff>342900</xdr:colOff>
      <xdr:row>44</xdr:row>
      <xdr:rowOff>185737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63BB262-3426-63D5-DA30-38745A12D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1323975</xdr:colOff>
      <xdr:row>20</xdr:row>
      <xdr:rowOff>104775</xdr:rowOff>
    </xdr:from>
    <xdr:to>
      <xdr:col>11</xdr:col>
      <xdr:colOff>38100</xdr:colOff>
      <xdr:row>34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Status">
              <a:extLst>
                <a:ext uri="{FF2B5EF4-FFF2-40B4-BE49-F238E27FC236}">
                  <a16:creationId xmlns:a16="http://schemas.microsoft.com/office/drawing/2014/main" id="{BB116501-6630-09AC-4FBE-139AB4BD2F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73075" y="39147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9525</xdr:rowOff>
    </xdr:from>
    <xdr:to>
      <xdr:col>17</xdr:col>
      <xdr:colOff>485775</xdr:colOff>
      <xdr:row>35</xdr:row>
      <xdr:rowOff>123825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9FB58A41-CB90-CC82-503F-7FDAC0AA2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9525"/>
          <a:ext cx="10220325" cy="67818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6</xdr:row>
      <xdr:rowOff>57150</xdr:rowOff>
    </xdr:from>
    <xdr:to>
      <xdr:col>4</xdr:col>
      <xdr:colOff>152400</xdr:colOff>
      <xdr:row>12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tatus 1">
              <a:extLst>
                <a:ext uri="{FF2B5EF4-FFF2-40B4-BE49-F238E27FC236}">
                  <a16:creationId xmlns:a16="http://schemas.microsoft.com/office/drawing/2014/main" id="{BC9C5161-436A-4F39-84AF-9D22F9F0E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" y="1200150"/>
              <a:ext cx="1828800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133350</xdr:colOff>
      <xdr:row>3</xdr:row>
      <xdr:rowOff>76200</xdr:rowOff>
    </xdr:from>
    <xdr:to>
      <xdr:col>17</xdr:col>
      <xdr:colOff>438150</xdr:colOff>
      <xdr:row>17</xdr:row>
      <xdr:rowOff>152400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5374C9C-0AB7-4ADC-95C5-55E44BD52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285750</xdr:colOff>
      <xdr:row>20</xdr:row>
      <xdr:rowOff>85725</xdr:rowOff>
    </xdr:from>
    <xdr:to>
      <xdr:col>17</xdr:col>
      <xdr:colOff>266700</xdr:colOff>
      <xdr:row>34</xdr:row>
      <xdr:rowOff>161925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D673781-B298-4D22-984F-609ED0167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219075</xdr:colOff>
      <xdr:row>1</xdr:row>
      <xdr:rowOff>0</xdr:rowOff>
    </xdr:from>
    <xdr:to>
      <xdr:col>8</xdr:col>
      <xdr:colOff>590550</xdr:colOff>
      <xdr:row>3</xdr:row>
      <xdr:rowOff>9525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4FB4587-E460-0486-9910-8F669451A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190500"/>
          <a:ext cx="1590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504825</xdr:colOff>
      <xdr:row>5</xdr:row>
      <xdr:rowOff>19050</xdr:rowOff>
    </xdr:from>
    <xdr:to>
      <xdr:col>9</xdr:col>
      <xdr:colOff>247650</xdr:colOff>
      <xdr:row>16</xdr:row>
      <xdr:rowOff>152400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9EF322F0-C81D-4ADC-8118-51A59CD29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g" refreshedDate="46087.410760069448" createdVersion="8" refreshedVersion="8" minRefreshableVersion="3" recordCount="36" xr:uid="{B00FF534-0DC3-4119-80AC-0405391472EA}">
  <cacheSource type="worksheet">
    <worksheetSource name="Tabela2[[Responsável]:[Status]]"/>
  </cacheSource>
  <cacheFields count="13">
    <cacheField name="Responsável" numFmtId="0">
      <sharedItems/>
    </cacheField>
    <cacheField name="Telefone" numFmtId="167">
      <sharedItems containsSemiMixedTypes="0" containsString="0" containsNumber="1" containsInteger="1" minValue="551199999999" maxValue="5511969346006"/>
    </cacheField>
    <cacheField name="Data de Vencimento" numFmtId="0">
      <sharedItems containsSemiMixedTypes="0" containsString="0" containsNumber="1" containsInteger="1" minValue="10" maxValue="30"/>
    </cacheField>
    <cacheField name="Valor Mensal" numFmtId="0">
      <sharedItems containsNonDate="0" containsString="0" containsBlank="1" count="1">
        <m/>
      </sharedItems>
    </cacheField>
    <cacheField name="Fevereiro" numFmtId="44">
      <sharedItems containsString="0" containsBlank="1" containsNumber="1" containsInteger="1" minValue="50" maxValue="500" count="9">
        <m/>
        <n v="200"/>
        <n v="350"/>
        <n v="400"/>
        <n v="219"/>
        <n v="500"/>
        <n v="150"/>
        <n v="100"/>
        <n v="50"/>
      </sharedItems>
    </cacheField>
    <cacheField name="Março" numFmtId="44">
      <sharedItems containsString="0" containsBlank="1" containsNumber="1" containsInteger="1" minValue="50" maxValue="300" count="4">
        <m/>
        <n v="300"/>
        <n v="50"/>
        <n v="200"/>
      </sharedItems>
    </cacheField>
    <cacheField name="Abril" numFmtId="44">
      <sharedItems containsString="0" containsBlank="1" containsNumber="1" containsInteger="1" minValue="80" maxValue="980" count="7">
        <m/>
        <n v="250"/>
        <n v="150"/>
        <n v="80"/>
        <n v="300"/>
        <n v="980"/>
        <n v="350"/>
      </sharedItems>
    </cacheField>
    <cacheField name="Maio" numFmtId="44">
      <sharedItems containsString="0" containsBlank="1" containsNumber="1" containsInteger="1" minValue="100" maxValue="549" count="8">
        <m/>
        <n v="549"/>
        <n v="350"/>
        <n v="100"/>
        <n v="120"/>
        <n v="400"/>
        <n v="150"/>
        <n v="500"/>
      </sharedItems>
    </cacheField>
    <cacheField name="Junho" numFmtId="44">
      <sharedItems containsString="0" containsBlank="1" containsNumber="1" containsInteger="1" minValue="100" maxValue="590" count="7">
        <m/>
        <n v="200"/>
        <n v="250"/>
        <n v="190"/>
        <n v="590"/>
        <n v="300"/>
        <n v="100"/>
      </sharedItems>
    </cacheField>
    <cacheField name="Valor Pago" numFmtId="44">
      <sharedItems containsString="0" containsBlank="1" containsNumber="1" containsInteger="1" minValue="100" maxValue="980"/>
    </cacheField>
    <cacheField name="Total em Aberto" numFmtId="44">
      <sharedItems containsString="0" containsBlank="1" containsNumber="1" containsInteger="1" minValue="50" maxValue="590" count="11">
        <m/>
        <n v="350"/>
        <n v="300"/>
        <n v="400"/>
        <n v="200"/>
        <n v="100"/>
        <n v="150"/>
        <n v="190"/>
        <n v="590"/>
        <n v="50"/>
        <n v="500"/>
      </sharedItems>
    </cacheField>
    <cacheField name="Dias em Atraso" numFmtId="0">
      <sharedItems containsString="0" containsBlank="1" containsNumber="1" containsInteger="1" minValue="0" maxValue="24" count="5">
        <n v="0"/>
        <n v="24"/>
        <n v="19"/>
        <n v="14"/>
        <m/>
      </sharedItems>
    </cacheField>
    <cacheField name="Status" numFmtId="0">
      <sharedItems count="2">
        <s v="EM DIA"/>
        <s v="EM ATRASO"/>
      </sharedItems>
    </cacheField>
  </cacheFields>
  <extLst>
    <ext xmlns:x14="http://schemas.microsoft.com/office/spreadsheetml/2009/9/main" uri="{725AE2AE-9491-48be-B2B4-4EB974FC3084}">
      <x14:pivotCacheDefinition pivotCacheId="5924326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Tamiris"/>
    <n v="5511969346006"/>
    <n v="10"/>
    <x v="0"/>
    <x v="0"/>
    <x v="0"/>
    <x v="0"/>
    <x v="0"/>
    <x v="0"/>
    <m/>
    <x v="0"/>
    <x v="0"/>
    <x v="0"/>
  </r>
  <r>
    <s v="Manoel"/>
    <n v="551199999999"/>
    <n v="10"/>
    <x v="0"/>
    <x v="1"/>
    <x v="0"/>
    <x v="0"/>
    <x v="0"/>
    <x v="0"/>
    <n v="200"/>
    <x v="0"/>
    <x v="0"/>
    <x v="0"/>
  </r>
  <r>
    <s v="Pulo"/>
    <n v="551199999999"/>
    <n v="10"/>
    <x v="0"/>
    <x v="2"/>
    <x v="0"/>
    <x v="0"/>
    <x v="0"/>
    <x v="0"/>
    <m/>
    <x v="1"/>
    <x v="1"/>
    <x v="1"/>
  </r>
  <r>
    <s v="Ricardo"/>
    <n v="551199999999"/>
    <n v="10"/>
    <x v="0"/>
    <x v="0"/>
    <x v="1"/>
    <x v="0"/>
    <x v="0"/>
    <x v="0"/>
    <m/>
    <x v="2"/>
    <x v="1"/>
    <x v="1"/>
  </r>
  <r>
    <s v="Rose"/>
    <n v="551199999999"/>
    <n v="10"/>
    <x v="0"/>
    <x v="3"/>
    <x v="0"/>
    <x v="0"/>
    <x v="0"/>
    <x v="0"/>
    <m/>
    <x v="3"/>
    <x v="1"/>
    <x v="1"/>
  </r>
  <r>
    <s v="Luiz"/>
    <n v="551199999999"/>
    <n v="10"/>
    <x v="0"/>
    <x v="0"/>
    <x v="0"/>
    <x v="1"/>
    <x v="0"/>
    <x v="0"/>
    <n v="250"/>
    <x v="0"/>
    <x v="0"/>
    <x v="0"/>
  </r>
  <r>
    <s v="Caio"/>
    <n v="551199999999"/>
    <n v="15"/>
    <x v="0"/>
    <x v="0"/>
    <x v="0"/>
    <x v="0"/>
    <x v="1"/>
    <x v="0"/>
    <n v="549"/>
    <x v="0"/>
    <x v="0"/>
    <x v="0"/>
  </r>
  <r>
    <s v="Carla Souza"/>
    <n v="551199999999"/>
    <n v="15"/>
    <x v="0"/>
    <x v="4"/>
    <x v="0"/>
    <x v="0"/>
    <x v="0"/>
    <x v="0"/>
    <n v="219"/>
    <x v="0"/>
    <x v="0"/>
    <x v="0"/>
  </r>
  <r>
    <s v="Marcos Lima"/>
    <n v="551199999999"/>
    <n v="15"/>
    <x v="0"/>
    <x v="0"/>
    <x v="0"/>
    <x v="0"/>
    <x v="2"/>
    <x v="0"/>
    <m/>
    <x v="1"/>
    <x v="2"/>
    <x v="1"/>
  </r>
  <r>
    <s v="Patrícia Fernandes"/>
    <n v="551199999999"/>
    <n v="15"/>
    <x v="0"/>
    <x v="5"/>
    <x v="0"/>
    <x v="0"/>
    <x v="0"/>
    <x v="1"/>
    <m/>
    <x v="4"/>
    <x v="2"/>
    <x v="1"/>
  </r>
  <r>
    <s v="Ricardo Oliveira"/>
    <n v="551199999999"/>
    <n v="15"/>
    <x v="0"/>
    <x v="0"/>
    <x v="0"/>
    <x v="2"/>
    <x v="0"/>
    <x v="0"/>
    <n v="150"/>
    <x v="0"/>
    <x v="0"/>
    <x v="0"/>
  </r>
  <r>
    <s v="Fernanda Costa"/>
    <n v="551199999999"/>
    <n v="15"/>
    <x v="0"/>
    <x v="0"/>
    <x v="0"/>
    <x v="0"/>
    <x v="3"/>
    <x v="0"/>
    <m/>
    <x v="5"/>
    <x v="2"/>
    <x v="1"/>
  </r>
  <r>
    <s v="André Martins"/>
    <n v="551199999999"/>
    <n v="15"/>
    <x v="0"/>
    <x v="2"/>
    <x v="0"/>
    <x v="0"/>
    <x v="0"/>
    <x v="0"/>
    <m/>
    <x v="0"/>
    <x v="0"/>
    <x v="0"/>
  </r>
  <r>
    <s v="Simone Rocha"/>
    <n v="551199999999"/>
    <n v="15"/>
    <x v="0"/>
    <x v="0"/>
    <x v="2"/>
    <x v="0"/>
    <x v="0"/>
    <x v="2"/>
    <n v="100"/>
    <x v="6"/>
    <x v="2"/>
    <x v="1"/>
  </r>
  <r>
    <s v="Daniela Santos"/>
    <n v="551199999999"/>
    <n v="15"/>
    <x v="0"/>
    <x v="0"/>
    <x v="0"/>
    <x v="3"/>
    <x v="0"/>
    <x v="0"/>
    <m/>
    <x v="0"/>
    <x v="0"/>
    <x v="0"/>
  </r>
  <r>
    <s v="Roberto Almeida"/>
    <n v="551199999999"/>
    <n v="20"/>
    <x v="0"/>
    <x v="0"/>
    <x v="0"/>
    <x v="0"/>
    <x v="4"/>
    <x v="0"/>
    <n v="120"/>
    <x v="0"/>
    <x v="0"/>
    <x v="0"/>
  </r>
  <r>
    <s v="Paula Carvalho"/>
    <n v="551199999999"/>
    <n v="20"/>
    <x v="0"/>
    <x v="6"/>
    <x v="0"/>
    <x v="0"/>
    <x v="0"/>
    <x v="0"/>
    <m/>
    <x v="6"/>
    <x v="3"/>
    <x v="1"/>
  </r>
  <r>
    <s v="Tatiana Torres"/>
    <n v="551199999999"/>
    <n v="20"/>
    <x v="0"/>
    <x v="0"/>
    <x v="0"/>
    <x v="0"/>
    <x v="0"/>
    <x v="3"/>
    <m/>
    <x v="7"/>
    <x v="3"/>
    <x v="1"/>
  </r>
  <r>
    <s v="João Ribeiro"/>
    <n v="551199999999"/>
    <n v="20"/>
    <x v="0"/>
    <x v="0"/>
    <x v="3"/>
    <x v="0"/>
    <x v="0"/>
    <x v="0"/>
    <n v="200"/>
    <x v="0"/>
    <x v="0"/>
    <x v="0"/>
  </r>
  <r>
    <s v="Sandra Duarte"/>
    <n v="551199999999"/>
    <n v="20"/>
    <x v="0"/>
    <x v="0"/>
    <x v="0"/>
    <x v="4"/>
    <x v="0"/>
    <x v="0"/>
    <n v="300"/>
    <x v="0"/>
    <x v="0"/>
    <x v="0"/>
  </r>
  <r>
    <s v="Sérgio Nogueira"/>
    <n v="551199999999"/>
    <n v="20"/>
    <x v="0"/>
    <x v="0"/>
    <x v="0"/>
    <x v="0"/>
    <x v="5"/>
    <x v="0"/>
    <n v="400"/>
    <x v="0"/>
    <x v="4"/>
    <x v="0"/>
  </r>
  <r>
    <s v="Cláudia Pires"/>
    <n v="551199999999"/>
    <n v="20"/>
    <x v="0"/>
    <x v="7"/>
    <x v="0"/>
    <x v="0"/>
    <x v="0"/>
    <x v="0"/>
    <m/>
    <x v="0"/>
    <x v="4"/>
    <x v="0"/>
  </r>
  <r>
    <s v="Eduardo Barros"/>
    <n v="551199999999"/>
    <n v="20"/>
    <x v="0"/>
    <x v="0"/>
    <x v="0"/>
    <x v="0"/>
    <x v="0"/>
    <x v="4"/>
    <m/>
    <x v="8"/>
    <x v="4"/>
    <x v="1"/>
  </r>
  <r>
    <s v="Juliana Mendes"/>
    <n v="551199999999"/>
    <n v="20"/>
    <x v="0"/>
    <x v="0"/>
    <x v="0"/>
    <x v="5"/>
    <x v="0"/>
    <x v="0"/>
    <n v="980"/>
    <x v="0"/>
    <x v="4"/>
    <x v="0"/>
  </r>
  <r>
    <s v="Adriana Correia"/>
    <n v="551199999999"/>
    <n v="20"/>
    <x v="0"/>
    <x v="1"/>
    <x v="0"/>
    <x v="0"/>
    <x v="0"/>
    <x v="0"/>
    <m/>
    <x v="0"/>
    <x v="4"/>
    <x v="0"/>
  </r>
  <r>
    <s v="Fábio Azevedo"/>
    <n v="551199999999"/>
    <n v="20"/>
    <x v="0"/>
    <x v="0"/>
    <x v="0"/>
    <x v="0"/>
    <x v="6"/>
    <x v="0"/>
    <n v="150"/>
    <x v="0"/>
    <x v="4"/>
    <x v="0"/>
  </r>
  <r>
    <s v="Helena Teixeira"/>
    <n v="551199999999"/>
    <n v="30"/>
    <x v="0"/>
    <x v="0"/>
    <x v="0"/>
    <x v="0"/>
    <x v="0"/>
    <x v="5"/>
    <m/>
    <x v="2"/>
    <x v="4"/>
    <x v="1"/>
  </r>
  <r>
    <s v="Mônica Prado"/>
    <n v="551199999999"/>
    <n v="30"/>
    <x v="0"/>
    <x v="0"/>
    <x v="3"/>
    <x v="0"/>
    <x v="0"/>
    <x v="0"/>
    <m/>
    <x v="4"/>
    <x v="4"/>
    <x v="1"/>
  </r>
  <r>
    <s v="Alexandre Moraes"/>
    <n v="551199999999"/>
    <n v="30"/>
    <x v="0"/>
    <x v="7"/>
    <x v="0"/>
    <x v="0"/>
    <x v="0"/>
    <x v="0"/>
    <n v="100"/>
    <x v="0"/>
    <x v="4"/>
    <x v="0"/>
  </r>
  <r>
    <s v="Luciana Cunha"/>
    <n v="551199999999"/>
    <n v="30"/>
    <x v="0"/>
    <x v="0"/>
    <x v="0"/>
    <x v="6"/>
    <x v="0"/>
    <x v="0"/>
    <m/>
    <x v="1"/>
    <x v="4"/>
    <x v="1"/>
  </r>
  <r>
    <s v="Rogério Batista"/>
    <n v="551199999999"/>
    <n v="30"/>
    <x v="0"/>
    <x v="0"/>
    <x v="0"/>
    <x v="0"/>
    <x v="5"/>
    <x v="0"/>
    <m/>
    <x v="0"/>
    <x v="4"/>
    <x v="0"/>
  </r>
  <r>
    <s v="Márcia Silveira"/>
    <n v="551199999999"/>
    <n v="30"/>
    <x v="0"/>
    <x v="8"/>
    <x v="0"/>
    <x v="0"/>
    <x v="0"/>
    <x v="6"/>
    <n v="100"/>
    <x v="9"/>
    <x v="4"/>
    <x v="1"/>
  </r>
  <r>
    <s v="Cláudio Farias"/>
    <n v="551199999999"/>
    <n v="30"/>
    <x v="0"/>
    <x v="0"/>
    <x v="0"/>
    <x v="0"/>
    <x v="0"/>
    <x v="0"/>
    <m/>
    <x v="0"/>
    <x v="4"/>
    <x v="0"/>
  </r>
  <r>
    <s v="Sônia Gomes"/>
    <n v="551199999999"/>
    <n v="30"/>
    <x v="0"/>
    <x v="0"/>
    <x v="0"/>
    <x v="0"/>
    <x v="7"/>
    <x v="0"/>
    <m/>
    <x v="10"/>
    <x v="4"/>
    <x v="1"/>
  </r>
  <r>
    <s v="Felipe Monteiro"/>
    <n v="551199999999"/>
    <n v="30"/>
    <x v="0"/>
    <x v="0"/>
    <x v="1"/>
    <x v="0"/>
    <x v="0"/>
    <x v="0"/>
    <n v="300"/>
    <x v="0"/>
    <x v="4"/>
    <x v="0"/>
  </r>
  <r>
    <s v="Renata Barcellos"/>
    <n v="551199999999"/>
    <n v="30"/>
    <x v="0"/>
    <x v="0"/>
    <x v="0"/>
    <x v="0"/>
    <x v="0"/>
    <x v="6"/>
    <n v="100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FEFFD-49E9-47B7-AB66-E648ED231133}" name="Tabela dinâmica1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:H2" firstHeaderRow="1" firstDataRow="1" firstDataCol="0"/>
  <pivotFields count="13"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h="1" x="0"/>
        <item t="default"/>
      </items>
    </pivotField>
  </pivotFields>
  <rowItems count="1">
    <i/>
  </rowItems>
  <colItems count="1">
    <i/>
  </colItems>
  <dataFields count="1">
    <dataField name="Soma de Total em Aberto" fld="10" baseField="0" baseItem="0" numFmtId="9"/>
  </dataFields>
  <formats count="3">
    <format dxfId="118">
      <pivotArea type="all" dataOnly="0" outline="0" fieldPosition="0"/>
    </format>
    <format dxfId="117">
      <pivotArea outline="0" collapsedLevelsAreSubtotals="1" fieldPosition="0"/>
    </format>
    <format dxfId="1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257E8-3A96-4D94-BECB-AC1CB6D19277}" name="Tabela dinâmica9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A28:A29" firstHeaderRow="1" firstDataRow="1" firstDataCol="0"/>
  <pivotFields count="13"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h="1" x="0"/>
        <item t="default"/>
      </items>
    </pivotField>
  </pivotFields>
  <rowItems count="1">
    <i/>
  </rowItems>
  <colItems count="1">
    <i/>
  </colItems>
  <dataFields count="1">
    <dataField name="Soma de Total em Aberto" fld="10" baseField="0" baseItem="0"/>
  </dataFields>
  <formats count="1">
    <format dxfId="34">
      <pivotArea outline="0" collapsedLevelsAreSubtotals="1" fieldPosition="0"/>
    </format>
  </formats>
  <chartFormats count="8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B5A24-E372-4710-98FF-06CD36C65A47}" name="Tabela dinâmica7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G9:K11" firstHeaderRow="0" firstDataRow="1" firstDataCol="1"/>
  <pivotFields count="13">
    <pivotField showAll="0"/>
    <pivotField numFmtId="167" showAll="0"/>
    <pivotField dataField="1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>
      <items count="3">
        <item x="1"/>
        <item h="1" x="0"/>
        <item t="default"/>
      </items>
    </pivotField>
  </pivotFields>
  <rowFields count="1">
    <field x="3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Data de Vencimento" fld="2" baseField="0" baseItem="0"/>
    <dataField name="Soma de Valor Pago" fld="9" baseField="0" baseItem="0"/>
    <dataField name="Soma de Total em Aberto" fld="10" baseField="0" baseItem="0"/>
    <dataField name="Soma de Dias em Atraso" fld="11" baseField="0" baseItem="0"/>
  </dataFields>
  <formats count="1">
    <format dxfId="1">
      <pivotArea outline="0" collapsedLevelsAreSubtotals="1" fieldPosition="0"/>
    </format>
  </format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CB1D9-F7E5-4E8B-9789-25895F0129B2}" name="Tabela dinâmica5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9:E10" firstHeaderRow="0" firstDataRow="1" firstDataCol="0"/>
  <pivotFields count="13">
    <pivotField showAll="0"/>
    <pivotField numFmtId="167" showAll="0"/>
    <pivotField showAll="0"/>
    <pivotField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>
      <items count="12">
        <item x="9"/>
        <item x="5"/>
        <item x="6"/>
        <item x="7"/>
        <item x="4"/>
        <item x="2"/>
        <item x="1"/>
        <item x="3"/>
        <item x="10"/>
        <item x="8"/>
        <item x="0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>
      <items count="3">
        <item x="1"/>
        <item h="1" x="0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Fevereiro" fld="4" baseField="0" baseItem="0"/>
    <dataField name="Soma de Março" fld="5" baseField="0" baseItem="0"/>
    <dataField name="Soma de Abril" fld="6" baseField="0" baseItem="0"/>
    <dataField name="Soma de Maio" fld="7" baseField="0" baseItem="0"/>
    <dataField name="Soma de Junho" fld="8" baseField="0" baseItem="0"/>
  </dataFields>
  <formats count="1">
    <format dxfId="0">
      <pivotArea outline="0" collapsedLevelsAreSubtotals="1" fieldPosition="0"/>
    </format>
  </formats>
  <chartFormats count="1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55B39-D433-497F-AE95-7519EDB8605F}" name="Tabela dinâ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D1:E4" firstHeaderRow="1" firstDataRow="1" firstDataCol="1"/>
  <pivotFields count="13">
    <pivotField showAll="0"/>
    <pivotField numFmtId="167" showAll="0"/>
    <pivotField dataField="1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h="1" x="0"/>
        <item t="default"/>
      </items>
    </pivotField>
  </pivotFields>
  <rowFields count="2">
    <field x="3"/>
    <field x="12"/>
  </rowFields>
  <rowItems count="3">
    <i>
      <x/>
    </i>
    <i r="1">
      <x/>
    </i>
    <i t="grand">
      <x/>
    </i>
  </rowItems>
  <colItems count="1">
    <i/>
  </colItems>
  <dataFields count="1">
    <dataField name="Soma de Data de Vencimento" fld="2" baseField="0" baseItem="0"/>
  </dataFields>
  <formats count="1">
    <format dxfId="119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4F877-7704-4448-9AFA-71C3307DA2FB}" name="Tabela dinâ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2" firstHeaderRow="1" firstDataRow="1" firstDataCol="0"/>
  <pivotFields count="13"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h="1" x="0"/>
        <item t="default"/>
      </items>
    </pivotField>
  </pivotFields>
  <rowItems count="1">
    <i/>
  </rowItems>
  <colItems count="1">
    <i/>
  </colItems>
  <dataFields count="1">
    <dataField name="Soma de Total em Aberto" fld="10" baseField="0" baseItem="0" numFmtId="44"/>
  </dataFields>
  <formats count="1">
    <format dxfId="1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3BBBB199-5F2A-4C46-B619-2C36DAB4D376}" sourceName="Status">
  <pivotTables>
    <pivotTable tabId="12" name="Tabela dinâmica5"/>
    <pivotTable tabId="12" name="Tabela dinâmica1"/>
    <pivotTable tabId="12" name="Tabela dinâmica11"/>
    <pivotTable tabId="12" name="Tabela dinâmica3"/>
    <pivotTable tabId="12" name="Tabela dinâmica7"/>
    <pivotTable tabId="12" name="Tabela dinâmica9"/>
  </pivotTables>
  <data>
    <tabular pivotCacheId="592432664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FAD4B136-1E74-4F40-BE42-9EFA6CB67FE6}" cache="SegmentaçãodeDados_Status" caption="Status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1" xr10:uid="{90B111AA-1C74-40F4-8D52-252597B9621F}" cache="SegmentaçãodeDados_Status" caption="Status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228D61-C38A-4006-82E6-08CDE8C5C240}" name="Tabela2" displayName="Tabela2" ref="A1:O38" totalsRowCount="1" headerRowDxfId="168" headerRowBorderDxfId="167" tableBorderDxfId="166" totalsRowBorderDxfId="165">
  <autoFilter ref="A1:O37" xr:uid="{D9228D61-C38A-4006-82E6-08CDE8C5C240}"/>
  <tableColumns count="15">
    <tableColumn id="1" xr3:uid="{19375F16-BD4B-4D2C-83C7-3DAAEA069A15}" name="Responsável" totalsRowLabel="Total" dataDxfId="154" totalsRowDxfId="139"/>
    <tableColumn id="2" xr3:uid="{5E925FC6-EE12-4C18-B401-3313D98FAF3C}" name="Telefone" dataDxfId="153" totalsRowDxfId="138"/>
    <tableColumn id="3" xr3:uid="{53ECE4FD-7C53-481B-8129-D6D1EB664193}" name="Data de Vencimento" dataDxfId="152" totalsRowDxfId="137"/>
    <tableColumn id="4" xr3:uid="{23DF6A33-FD36-4E79-9D31-2B5BDAFE56C4}" name="Valor Mensal" dataDxfId="151" totalsRowDxfId="136"/>
    <tableColumn id="5" xr3:uid="{059B6B78-FC22-413C-B201-C65D4742BD4A}" name="Fevereiro" totalsRowFunction="custom" dataDxfId="150" totalsRowDxfId="135">
      <totalsRowFormula>SUM(E2:E37)</totalsRowFormula>
    </tableColumn>
    <tableColumn id="6" xr3:uid="{D98C9758-86E6-4E23-A04D-97EF2CE26803}" name="Março" totalsRowFunction="custom" dataDxfId="149" totalsRowDxfId="134">
      <totalsRowFormula>SUM(F2:F37)</totalsRowFormula>
    </tableColumn>
    <tableColumn id="7" xr3:uid="{7C40B2B6-11A9-48F4-A047-6F3C438D64A2}" name="Abril" totalsRowFunction="custom" dataDxfId="148" totalsRowDxfId="133">
      <totalsRowFormula>SUM(G2:G37)</totalsRowFormula>
    </tableColumn>
    <tableColumn id="8" xr3:uid="{57259937-0DE7-49E6-BD93-2571BF4CF385}" name="Maio" totalsRowFunction="custom" dataDxfId="147" totalsRowDxfId="132">
      <totalsRowFormula>SUM(H2:H37)</totalsRowFormula>
    </tableColumn>
    <tableColumn id="9" xr3:uid="{E49F1464-AA58-4CCF-B2F7-444637DC7CC3}" name="Junho" totalsRowFunction="custom" dataDxfId="146" totalsRowDxfId="131">
      <totalsRowFormula>SUM(I2:I37)</totalsRowFormula>
    </tableColumn>
    <tableColumn id="10" xr3:uid="{DC1134CE-8BD3-44E8-87F7-5DB7E51BFD82}" name="Valor Pago" totalsRowFunction="custom" dataDxfId="145" totalsRowDxfId="130">
      <totalsRowFormula>SUM(J2:J37)</totalsRowFormula>
    </tableColumn>
    <tableColumn id="11" xr3:uid="{6DDA233B-5B10-42CE-8BAB-03A49F272F7C}" name="Total em Aberto" totalsRowFunction="custom" dataDxfId="144" totalsRowDxfId="129">
      <totalsRowFormula>SUM(K2:K37)</totalsRowFormula>
    </tableColumn>
    <tableColumn id="12" xr3:uid="{FC087F5E-9EB0-43DC-B9FE-9A8B8A77EF3A}" name="Dias em Atraso" totalsRowFunction="custom" dataDxfId="143" totalsRowDxfId="128">
      <totalsRowFormula>SUM(L2:L37)</totalsRowFormula>
    </tableColumn>
    <tableColumn id="13" xr3:uid="{3DDC6E7C-D1C8-4A93-8C7D-5C7932EE1BFB}" name="Status" totalsRowFunction="custom" dataDxfId="142" totalsRowDxfId="127">
      <totalsRowFormula>SUM(M2:M37)</totalsRowFormula>
    </tableColumn>
    <tableColumn id="14" xr3:uid="{BB24F84A-B2F3-42C4-B366-38C1D820F551}" name="Último Contato" totalsRowFunction="custom" dataDxfId="141" totalsRowDxfId="126">
      <totalsRowFormula>SUM(N2:N37)</totalsRowFormula>
    </tableColumn>
    <tableColumn id="15" xr3:uid="{BE0411CE-4771-4522-B108-3B56B5ADB462}" name="Observações" totalsRowFunction="count" dataDxfId="140" totalsRowDxfId="12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A2E40A-28F9-4F20-A869-265CE0CC9F7F}" name="Tabela3" displayName="Tabela3" ref="A1:M37" totalsRowShown="0">
  <autoFilter ref="A1:M37" xr:uid="{78A2E40A-28F9-4F20-A869-265CE0CC9F7F}"/>
  <tableColumns count="13">
    <tableColumn id="1" xr3:uid="{44F35297-12BB-493F-A741-6D1BD147D539}" name="Responsável"/>
    <tableColumn id="2" xr3:uid="{239BA1B7-5E8A-4EF7-8E0D-B3FF3F1CAC13}" name="Telefone"/>
    <tableColumn id="3" xr3:uid="{2A219B13-5AC9-4699-A008-05D667BD8E68}" name="Data de Vencimento"/>
    <tableColumn id="4" xr3:uid="{C57A4F35-60AF-4DB9-9AE3-7B677087BE8C}" name="Valor Mensal"/>
    <tableColumn id="5" xr3:uid="{2DAEEF7E-D3B4-4578-B79A-102173A8710F}" name="Fevereiro"/>
    <tableColumn id="6" xr3:uid="{EC50BD5A-1275-4AFD-B6D7-8F5223B01F2D}" name="Março"/>
    <tableColumn id="7" xr3:uid="{02524F35-7D0A-4A82-8479-F4279E2FB7F4}" name="Abril"/>
    <tableColumn id="8" xr3:uid="{FBC8BB8A-7D02-4AED-B580-C190D0749F20}" name="Maio"/>
    <tableColumn id="9" xr3:uid="{9FFF25AB-6FB9-4D58-9533-AD2F576B7B4E}" name="Junho"/>
    <tableColumn id="10" xr3:uid="{D5AC6B84-830B-47EE-A383-07D2FB036914}" name="Valor Pago"/>
    <tableColumn id="11" xr3:uid="{36F8171B-AB36-4284-8BDB-49E37DE90507}" name="Total em Aberto"/>
    <tableColumn id="12" xr3:uid="{B9B62F7B-5A03-4F2C-BF1E-F34D9208014C}" name="Dias em Atraso"/>
    <tableColumn id="13" xr3:uid="{D7F03254-864E-4DF0-BBC9-768A46581162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C4CFFA-2E61-4AF7-B2ED-ABCFF5E82B3B}" name="Tabela1" displayName="Tabela1" ref="A1:F130" totalsRowShown="0" headerRowDxfId="164" headerRowBorderDxfId="163" tableBorderDxfId="162" totalsRowBorderDxfId="161">
  <autoFilter ref="A1:F130" xr:uid="{29C4CFFA-2E61-4AF7-B2ED-ABCFF5E82B3B}"/>
  <tableColumns count="6">
    <tableColumn id="1" xr3:uid="{09B680A2-DF57-4F36-AD34-F44DE8165062}" name="Coluna1" dataDxfId="160"/>
    <tableColumn id="2" xr3:uid="{E5E5E79B-E8E8-4E81-9269-CF2DC3902EDB}" name="Coluna2" dataDxfId="159"/>
    <tableColumn id="3" xr3:uid="{83CC4B12-8103-459A-9EDE-150BED71D98E}" name="Coluna3" dataDxfId="158"/>
    <tableColumn id="4" xr3:uid="{28C172FA-86E4-4636-8E3B-466193583FB9}" name="Coluna4" dataDxfId="157"/>
    <tableColumn id="5" xr3:uid="{0BFBB092-9A03-4312-A211-61A88EBF2BAB}" name="Coluna5" dataDxfId="156"/>
    <tableColumn id="6" xr3:uid="{0B5DBF61-3069-4FC7-87FB-12434AB04137}" name="Coluna6" dataDxfId="15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929E-3534-4E13-801A-C1C38CCEF13F}">
  <dimension ref="A1:Q38"/>
  <sheetViews>
    <sheetView topLeftCell="D3" workbookViewId="0">
      <selection activeCell="J31" sqref="J31"/>
    </sheetView>
  </sheetViews>
  <sheetFormatPr defaultRowHeight="15" x14ac:dyDescent="0.25"/>
  <cols>
    <col min="1" max="1" width="32.140625" customWidth="1"/>
    <col min="2" max="2" width="24.7109375" customWidth="1"/>
    <col min="3" max="3" width="27.140625" customWidth="1"/>
    <col min="4" max="4" width="18.42578125" customWidth="1"/>
    <col min="5" max="5" width="16" customWidth="1"/>
    <col min="6" max="7" width="13.85546875" bestFit="1" customWidth="1"/>
    <col min="8" max="8" width="17" customWidth="1"/>
    <col min="9" max="9" width="15.140625" customWidth="1"/>
    <col min="10" max="10" width="16" customWidth="1"/>
    <col min="11" max="11" width="22.28515625" customWidth="1"/>
    <col min="12" max="12" width="21.140625" customWidth="1"/>
    <col min="13" max="13" width="13.7109375" customWidth="1"/>
    <col min="14" max="14" width="21.140625" customWidth="1"/>
    <col min="15" max="15" width="20.140625" customWidth="1"/>
    <col min="17" max="17" width="29.42578125" customWidth="1"/>
  </cols>
  <sheetData>
    <row r="1" spans="1:17" ht="18.75" x14ac:dyDescent="0.25">
      <c r="A1" s="20" t="s">
        <v>9</v>
      </c>
      <c r="B1" s="21" t="s">
        <v>10</v>
      </c>
      <c r="C1" s="21" t="s">
        <v>11</v>
      </c>
      <c r="D1" s="21" t="s">
        <v>12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25</v>
      </c>
      <c r="J1" s="21" t="s">
        <v>17</v>
      </c>
      <c r="K1" s="21" t="s">
        <v>18</v>
      </c>
      <c r="L1" s="21" t="s">
        <v>19</v>
      </c>
      <c r="M1" s="21" t="s">
        <v>20</v>
      </c>
      <c r="N1" s="21" t="s">
        <v>21</v>
      </c>
      <c r="O1" s="22" t="s">
        <v>22</v>
      </c>
    </row>
    <row r="2" spans="1:17" x14ac:dyDescent="0.25">
      <c r="A2" s="23" t="s">
        <v>32</v>
      </c>
      <c r="B2" s="41">
        <v>5511969346006</v>
      </c>
      <c r="C2" s="13">
        <v>10</v>
      </c>
      <c r="D2" s="14"/>
      <c r="E2" s="15"/>
      <c r="F2" s="15"/>
      <c r="G2" s="15"/>
      <c r="H2" s="15"/>
      <c r="I2" s="15"/>
      <c r="J2" s="12"/>
      <c r="K2" s="16"/>
      <c r="L2" s="17">
        <f ca="1">IF(K2&gt;0,TODAY()-DATE(YEAR(TODAY()),MONTH(TODAY())-1,C2),0)</f>
        <v>0</v>
      </c>
      <c r="M2" s="8" t="str">
        <f>IF(K2=0,"EM DIA","EM ATRASO")</f>
        <v>EM DIA</v>
      </c>
      <c r="N2" s="8"/>
      <c r="O2" s="7"/>
      <c r="Q2" s="6" t="s">
        <v>23</v>
      </c>
    </row>
    <row r="3" spans="1:17" x14ac:dyDescent="0.25">
      <c r="A3" s="23" t="s">
        <v>46</v>
      </c>
      <c r="B3" s="41">
        <v>551199999999</v>
      </c>
      <c r="C3" s="13">
        <v>10</v>
      </c>
      <c r="D3" s="14"/>
      <c r="E3" s="15">
        <v>200</v>
      </c>
      <c r="F3" s="15"/>
      <c r="G3" s="15"/>
      <c r="H3" s="15"/>
      <c r="I3" s="15"/>
      <c r="J3" s="12">
        <v>200</v>
      </c>
      <c r="K3" s="16"/>
      <c r="L3" s="17">
        <f t="shared" ref="L3:L21" ca="1" si="0">IF(K3&gt;0,TODAY()-DATE(YEAR(TODAY()),MONTH(TODAY())-1,C3),0)</f>
        <v>0</v>
      </c>
      <c r="M3" s="8" t="str">
        <f t="shared" ref="M3:M37" si="1">IF(K3=0,"EM DIA","EM ATRASO")</f>
        <v>EM DIA</v>
      </c>
      <c r="N3" s="8"/>
      <c r="O3" s="7"/>
      <c r="Q3" s="18">
        <f>SUM(K:K)</f>
        <v>8360</v>
      </c>
    </row>
    <row r="4" spans="1:17" x14ac:dyDescent="0.25">
      <c r="A4" s="23" t="s">
        <v>47</v>
      </c>
      <c r="B4" s="41">
        <v>551199999999</v>
      </c>
      <c r="C4" s="13">
        <v>10</v>
      </c>
      <c r="D4" s="14"/>
      <c r="E4" s="15">
        <v>350</v>
      </c>
      <c r="F4" s="15"/>
      <c r="G4" s="15"/>
      <c r="H4" s="15"/>
      <c r="I4" s="15"/>
      <c r="J4" s="12"/>
      <c r="K4" s="16">
        <v>350</v>
      </c>
      <c r="L4" s="17">
        <f t="shared" ca="1" si="0"/>
        <v>24</v>
      </c>
      <c r="M4" s="8" t="str">
        <f t="shared" si="1"/>
        <v>EM ATRASO</v>
      </c>
      <c r="N4" s="8"/>
      <c r="O4" s="7"/>
      <c r="Q4" s="8"/>
    </row>
    <row r="5" spans="1:17" x14ac:dyDescent="0.25">
      <c r="A5" s="23" t="s">
        <v>44</v>
      </c>
      <c r="B5" s="41">
        <v>551199999999</v>
      </c>
      <c r="C5" s="13">
        <v>10</v>
      </c>
      <c r="D5" s="14"/>
      <c r="E5" s="15"/>
      <c r="F5" s="15">
        <v>300</v>
      </c>
      <c r="G5" s="15"/>
      <c r="H5" s="15"/>
      <c r="I5" s="15"/>
      <c r="J5" s="12"/>
      <c r="K5" s="16">
        <v>300</v>
      </c>
      <c r="L5" s="17">
        <f t="shared" ca="1" si="0"/>
        <v>24</v>
      </c>
      <c r="M5" s="8" t="str">
        <f t="shared" si="1"/>
        <v>EM ATRASO</v>
      </c>
      <c r="N5" s="8"/>
      <c r="O5" s="7"/>
      <c r="Q5" s="6" t="s">
        <v>24</v>
      </c>
    </row>
    <row r="6" spans="1:17" x14ac:dyDescent="0.25">
      <c r="A6" s="23" t="s">
        <v>48</v>
      </c>
      <c r="B6" s="41">
        <v>551199999999</v>
      </c>
      <c r="C6" s="13">
        <v>10</v>
      </c>
      <c r="D6" s="14"/>
      <c r="E6" s="15">
        <v>400</v>
      </c>
      <c r="F6" s="15"/>
      <c r="G6" s="15"/>
      <c r="H6" s="15"/>
      <c r="I6" s="15"/>
      <c r="J6" s="12"/>
      <c r="K6" s="16">
        <v>400</v>
      </c>
      <c r="L6" s="17">
        <f t="shared" ca="1" si="0"/>
        <v>24</v>
      </c>
      <c r="M6" s="8" t="str">
        <f t="shared" si="1"/>
        <v>EM ATRASO</v>
      </c>
      <c r="N6" s="8"/>
      <c r="O6" s="7"/>
      <c r="Q6" s="19">
        <f>COUNTIF(M:M,"EM ATRASO")</f>
        <v>15</v>
      </c>
    </row>
    <row r="7" spans="1:17" x14ac:dyDescent="0.25">
      <c r="A7" s="23" t="s">
        <v>49</v>
      </c>
      <c r="B7" s="41">
        <v>551199999999</v>
      </c>
      <c r="C7" s="13">
        <v>10</v>
      </c>
      <c r="D7" s="14"/>
      <c r="E7" s="15"/>
      <c r="F7" s="15"/>
      <c r="G7" s="15">
        <v>250</v>
      </c>
      <c r="H7" s="15"/>
      <c r="I7" s="15"/>
      <c r="J7" s="12">
        <v>250</v>
      </c>
      <c r="K7" s="16"/>
      <c r="L7" s="17">
        <f t="shared" ca="1" si="0"/>
        <v>0</v>
      </c>
      <c r="M7" s="8" t="str">
        <f t="shared" si="1"/>
        <v>EM DIA</v>
      </c>
      <c r="N7" s="8"/>
      <c r="O7" s="7"/>
    </row>
    <row r="8" spans="1:17" x14ac:dyDescent="0.25">
      <c r="A8" s="23" t="s">
        <v>50</v>
      </c>
      <c r="B8" s="41">
        <v>551199999999</v>
      </c>
      <c r="C8" s="13">
        <v>15</v>
      </c>
      <c r="D8" s="14"/>
      <c r="E8" s="15"/>
      <c r="F8" s="15"/>
      <c r="G8" s="15"/>
      <c r="H8" s="15">
        <v>549</v>
      </c>
      <c r="I8" s="15"/>
      <c r="J8" s="12">
        <v>549</v>
      </c>
      <c r="K8" s="16"/>
      <c r="L8" s="17">
        <f t="shared" ca="1" si="0"/>
        <v>0</v>
      </c>
      <c r="M8" s="8" t="str">
        <f t="shared" si="1"/>
        <v>EM DIA</v>
      </c>
      <c r="N8" s="8"/>
      <c r="O8" s="7"/>
    </row>
    <row r="9" spans="1:17" x14ac:dyDescent="0.25">
      <c r="A9" t="s">
        <v>52</v>
      </c>
      <c r="B9" s="41">
        <v>551199999999</v>
      </c>
      <c r="C9" s="13">
        <v>15</v>
      </c>
      <c r="D9" s="14"/>
      <c r="E9" s="15">
        <v>219</v>
      </c>
      <c r="F9" s="15"/>
      <c r="G9" s="15"/>
      <c r="H9" s="15"/>
      <c r="I9" s="15"/>
      <c r="J9" s="12">
        <v>219</v>
      </c>
      <c r="K9" s="16"/>
      <c r="L9" s="17">
        <f t="shared" ca="1" si="0"/>
        <v>0</v>
      </c>
      <c r="M9" s="8" t="str">
        <f t="shared" si="1"/>
        <v>EM DIA</v>
      </c>
      <c r="N9" s="8"/>
      <c r="O9" s="7"/>
    </row>
    <row r="10" spans="1:17" x14ac:dyDescent="0.25">
      <c r="A10" t="s">
        <v>82</v>
      </c>
      <c r="B10" s="41">
        <v>551199999999</v>
      </c>
      <c r="C10" s="13">
        <v>15</v>
      </c>
      <c r="D10" s="14"/>
      <c r="E10" s="15"/>
      <c r="F10" s="15"/>
      <c r="G10" s="15"/>
      <c r="H10" s="15">
        <v>350</v>
      </c>
      <c r="I10" s="15"/>
      <c r="J10" s="12"/>
      <c r="K10" s="16">
        <v>350</v>
      </c>
      <c r="L10" s="17">
        <f t="shared" ca="1" si="0"/>
        <v>19</v>
      </c>
      <c r="M10" s="8" t="str">
        <f t="shared" si="1"/>
        <v>EM ATRASO</v>
      </c>
      <c r="N10" s="8"/>
      <c r="O10" s="7"/>
    </row>
    <row r="11" spans="1:17" x14ac:dyDescent="0.25">
      <c r="A11" s="35" t="s">
        <v>83</v>
      </c>
      <c r="B11" s="41">
        <v>551199999999</v>
      </c>
      <c r="C11" s="13">
        <v>15</v>
      </c>
      <c r="D11" s="14"/>
      <c r="E11" s="15">
        <v>500</v>
      </c>
      <c r="F11" s="15"/>
      <c r="G11" s="15"/>
      <c r="H11" s="15"/>
      <c r="I11" s="15">
        <v>200</v>
      </c>
      <c r="J11" s="12"/>
      <c r="K11" s="16">
        <v>200</v>
      </c>
      <c r="L11" s="17">
        <f t="shared" ca="1" si="0"/>
        <v>19</v>
      </c>
      <c r="M11" s="8" t="str">
        <f t="shared" si="1"/>
        <v>EM ATRASO</v>
      </c>
      <c r="N11" s="8"/>
      <c r="O11" s="7"/>
    </row>
    <row r="12" spans="1:17" x14ac:dyDescent="0.25">
      <c r="A12" s="44" t="s">
        <v>84</v>
      </c>
      <c r="B12" s="41">
        <v>551199999999</v>
      </c>
      <c r="C12" s="13">
        <v>15</v>
      </c>
      <c r="D12" s="14"/>
      <c r="E12" s="15"/>
      <c r="F12" s="15"/>
      <c r="G12" s="15">
        <v>150</v>
      </c>
      <c r="H12" s="15"/>
      <c r="I12" s="15"/>
      <c r="J12" s="12">
        <v>150</v>
      </c>
      <c r="K12" s="16"/>
      <c r="L12" s="17">
        <f t="shared" ca="1" si="0"/>
        <v>0</v>
      </c>
      <c r="M12" s="8" t="str">
        <f t="shared" si="1"/>
        <v>EM DIA</v>
      </c>
      <c r="N12" s="8"/>
      <c r="O12" s="7"/>
    </row>
    <row r="13" spans="1:17" x14ac:dyDescent="0.25">
      <c r="A13" s="44" t="s">
        <v>85</v>
      </c>
      <c r="B13" s="41">
        <v>551199999999</v>
      </c>
      <c r="C13" s="13">
        <v>15</v>
      </c>
      <c r="D13" s="14"/>
      <c r="E13" s="15"/>
      <c r="F13" s="15"/>
      <c r="G13" s="15"/>
      <c r="H13" s="15">
        <v>100</v>
      </c>
      <c r="I13" s="15"/>
      <c r="J13" s="12"/>
      <c r="K13" s="16">
        <v>100</v>
      </c>
      <c r="L13" s="17">
        <f t="shared" ca="1" si="0"/>
        <v>19</v>
      </c>
      <c r="M13" s="8" t="str">
        <f t="shared" si="1"/>
        <v>EM ATRASO</v>
      </c>
      <c r="N13" s="8"/>
      <c r="O13" s="7"/>
    </row>
    <row r="14" spans="1:17" x14ac:dyDescent="0.25">
      <c r="A14" s="44" t="s">
        <v>86</v>
      </c>
      <c r="B14" s="41">
        <v>551199999999</v>
      </c>
      <c r="C14" s="13">
        <v>15</v>
      </c>
      <c r="D14" s="14"/>
      <c r="E14" s="15">
        <v>350</v>
      </c>
      <c r="F14" s="15"/>
      <c r="G14" s="15"/>
      <c r="H14" s="15"/>
      <c r="I14" s="15"/>
      <c r="J14" s="12"/>
      <c r="K14" s="16"/>
      <c r="L14" s="17">
        <f t="shared" ca="1" si="0"/>
        <v>0</v>
      </c>
      <c r="M14" s="8" t="str">
        <f t="shared" si="1"/>
        <v>EM DIA</v>
      </c>
      <c r="N14" s="8"/>
      <c r="O14" s="7"/>
    </row>
    <row r="15" spans="1:17" x14ac:dyDescent="0.25">
      <c r="A15" s="44" t="s">
        <v>87</v>
      </c>
      <c r="B15" s="41">
        <v>551199999999</v>
      </c>
      <c r="C15" s="13">
        <v>15</v>
      </c>
      <c r="D15" s="14"/>
      <c r="E15" s="15"/>
      <c r="F15" s="15">
        <v>50</v>
      </c>
      <c r="G15" s="15"/>
      <c r="H15" s="15"/>
      <c r="I15" s="15">
        <v>250</v>
      </c>
      <c r="J15" s="12">
        <v>100</v>
      </c>
      <c r="K15" s="16">
        <v>150</v>
      </c>
      <c r="L15" s="17">
        <f t="shared" ca="1" si="0"/>
        <v>19</v>
      </c>
      <c r="M15" s="8" t="str">
        <f t="shared" si="1"/>
        <v>EM ATRASO</v>
      </c>
      <c r="N15" s="8"/>
      <c r="O15" s="7"/>
    </row>
    <row r="16" spans="1:17" x14ac:dyDescent="0.25">
      <c r="A16" s="44" t="s">
        <v>88</v>
      </c>
      <c r="B16" s="41">
        <v>551199999999</v>
      </c>
      <c r="C16" s="13">
        <v>15</v>
      </c>
      <c r="D16" s="14"/>
      <c r="E16" s="15"/>
      <c r="F16" s="15"/>
      <c r="G16" s="15">
        <v>80</v>
      </c>
      <c r="H16" s="15"/>
      <c r="I16" s="15"/>
      <c r="J16" s="12"/>
      <c r="K16" s="16"/>
      <c r="L16" s="17">
        <f t="shared" ca="1" si="0"/>
        <v>0</v>
      </c>
      <c r="M16" s="8" t="str">
        <f t="shared" si="1"/>
        <v>EM DIA</v>
      </c>
      <c r="N16" s="8"/>
      <c r="O16" s="7"/>
    </row>
    <row r="17" spans="1:15" x14ac:dyDescent="0.25">
      <c r="A17" s="44" t="s">
        <v>89</v>
      </c>
      <c r="B17" s="41">
        <v>551199999999</v>
      </c>
      <c r="C17" s="13">
        <v>20</v>
      </c>
      <c r="D17" s="14"/>
      <c r="E17" s="15"/>
      <c r="F17" s="15"/>
      <c r="G17" s="15"/>
      <c r="H17" s="15">
        <v>120</v>
      </c>
      <c r="I17" s="15"/>
      <c r="J17" s="12">
        <v>120</v>
      </c>
      <c r="K17" s="16"/>
      <c r="L17" s="17">
        <f t="shared" ca="1" si="0"/>
        <v>0</v>
      </c>
      <c r="M17" s="8" t="str">
        <f t="shared" si="1"/>
        <v>EM DIA</v>
      </c>
      <c r="N17" s="8"/>
      <c r="O17" s="7"/>
    </row>
    <row r="18" spans="1:15" x14ac:dyDescent="0.25">
      <c r="A18" s="44" t="s">
        <v>90</v>
      </c>
      <c r="B18" s="41">
        <v>551199999999</v>
      </c>
      <c r="C18" s="13">
        <v>20</v>
      </c>
      <c r="D18" s="14"/>
      <c r="E18" s="15">
        <v>150</v>
      </c>
      <c r="F18" s="15"/>
      <c r="G18" s="15"/>
      <c r="H18" s="15"/>
      <c r="I18" s="15"/>
      <c r="J18" s="12"/>
      <c r="K18" s="16">
        <v>150</v>
      </c>
      <c r="L18" s="17">
        <f t="shared" ca="1" si="0"/>
        <v>14</v>
      </c>
      <c r="M18" s="8" t="str">
        <f t="shared" si="1"/>
        <v>EM ATRASO</v>
      </c>
      <c r="N18" s="8"/>
      <c r="O18" s="7"/>
    </row>
    <row r="19" spans="1:15" x14ac:dyDescent="0.25">
      <c r="A19" s="44" t="s">
        <v>91</v>
      </c>
      <c r="B19" s="41">
        <v>551199999999</v>
      </c>
      <c r="C19" s="13">
        <v>20</v>
      </c>
      <c r="D19" s="14"/>
      <c r="E19" s="15"/>
      <c r="F19" s="15"/>
      <c r="G19" s="15"/>
      <c r="H19" s="15"/>
      <c r="I19" s="15">
        <v>190</v>
      </c>
      <c r="J19" s="12"/>
      <c r="K19" s="18">
        <v>190</v>
      </c>
      <c r="L19" s="17">
        <f t="shared" ca="1" si="0"/>
        <v>14</v>
      </c>
      <c r="M19" s="8" t="str">
        <f t="shared" si="1"/>
        <v>EM ATRASO</v>
      </c>
      <c r="N19" s="8"/>
      <c r="O19" s="7"/>
    </row>
    <row r="20" spans="1:15" x14ac:dyDescent="0.25">
      <c r="A20" s="44" t="s">
        <v>92</v>
      </c>
      <c r="B20" s="41">
        <v>551199999999</v>
      </c>
      <c r="C20" s="13">
        <v>20</v>
      </c>
      <c r="D20" s="14"/>
      <c r="E20" s="15"/>
      <c r="F20" s="15">
        <v>200</v>
      </c>
      <c r="G20" s="15"/>
      <c r="H20" s="15"/>
      <c r="I20" s="15"/>
      <c r="J20" s="12">
        <v>200</v>
      </c>
      <c r="K20" s="18"/>
      <c r="L20" s="17">
        <f t="shared" ca="1" si="0"/>
        <v>0</v>
      </c>
      <c r="M20" s="8" t="str">
        <f t="shared" si="1"/>
        <v>EM DIA</v>
      </c>
      <c r="N20" s="8"/>
      <c r="O20" s="7"/>
    </row>
    <row r="21" spans="1:15" x14ac:dyDescent="0.25">
      <c r="A21" s="44" t="s">
        <v>93</v>
      </c>
      <c r="B21" s="41">
        <v>551199999999</v>
      </c>
      <c r="C21" s="13">
        <v>20</v>
      </c>
      <c r="D21" s="14"/>
      <c r="E21" s="15"/>
      <c r="F21" s="15"/>
      <c r="G21" s="15">
        <v>300</v>
      </c>
      <c r="H21" s="15"/>
      <c r="I21" s="15"/>
      <c r="J21" s="12">
        <v>300</v>
      </c>
      <c r="K21" s="18"/>
      <c r="L21" s="49">
        <f t="shared" ca="1" si="0"/>
        <v>0</v>
      </c>
      <c r="M21" s="8" t="str">
        <f t="shared" si="1"/>
        <v>EM DIA</v>
      </c>
      <c r="N21" s="8"/>
      <c r="O21" s="7"/>
    </row>
    <row r="22" spans="1:15" x14ac:dyDescent="0.25">
      <c r="A22" s="44" t="s">
        <v>94</v>
      </c>
      <c r="B22" s="41">
        <v>551199999999</v>
      </c>
      <c r="C22" s="13">
        <v>20</v>
      </c>
      <c r="D22" s="8"/>
      <c r="E22" s="15"/>
      <c r="F22" s="15"/>
      <c r="G22" s="15"/>
      <c r="H22" s="15">
        <v>400</v>
      </c>
      <c r="I22" s="15"/>
      <c r="J22" s="12">
        <v>400</v>
      </c>
      <c r="K22" s="47"/>
      <c r="L22" s="49"/>
      <c r="M22" s="35" t="str">
        <f t="shared" si="1"/>
        <v>EM DIA</v>
      </c>
      <c r="N22" s="8"/>
      <c r="O22" s="7"/>
    </row>
    <row r="23" spans="1:15" x14ac:dyDescent="0.25">
      <c r="A23" s="44" t="s">
        <v>95</v>
      </c>
      <c r="B23" s="41">
        <v>551199999999</v>
      </c>
      <c r="C23" s="13">
        <v>20</v>
      </c>
      <c r="D23" s="8"/>
      <c r="E23" s="15">
        <v>100</v>
      </c>
      <c r="F23" s="15"/>
      <c r="G23" s="15"/>
      <c r="H23" s="15"/>
      <c r="I23" s="15"/>
      <c r="J23" s="12"/>
      <c r="K23" s="47"/>
      <c r="L23" s="49"/>
      <c r="M23" s="35" t="str">
        <f t="shared" si="1"/>
        <v>EM DIA</v>
      </c>
      <c r="N23" s="8"/>
      <c r="O23" s="7"/>
    </row>
    <row r="24" spans="1:15" x14ac:dyDescent="0.25">
      <c r="A24" s="44" t="s">
        <v>96</v>
      </c>
      <c r="B24" s="41">
        <v>551199999999</v>
      </c>
      <c r="C24" s="13">
        <v>20</v>
      </c>
      <c r="D24" s="8"/>
      <c r="E24" s="15"/>
      <c r="F24" s="15"/>
      <c r="G24" s="15"/>
      <c r="H24" s="15"/>
      <c r="I24" s="15">
        <v>590</v>
      </c>
      <c r="J24" s="12"/>
      <c r="K24" s="47">
        <v>590</v>
      </c>
      <c r="L24" s="49"/>
      <c r="M24" s="35" t="str">
        <f t="shared" si="1"/>
        <v>EM ATRASO</v>
      </c>
      <c r="N24" s="8"/>
      <c r="O24" s="7"/>
    </row>
    <row r="25" spans="1:15" x14ac:dyDescent="0.25">
      <c r="A25" s="44" t="s">
        <v>97</v>
      </c>
      <c r="B25" s="41">
        <v>551199999999</v>
      </c>
      <c r="C25" s="13">
        <v>20</v>
      </c>
      <c r="D25" s="8"/>
      <c r="E25" s="15"/>
      <c r="F25" s="15"/>
      <c r="G25" s="15">
        <v>980</v>
      </c>
      <c r="H25" s="15"/>
      <c r="I25" s="15"/>
      <c r="J25" s="12">
        <v>980</v>
      </c>
      <c r="K25" s="47"/>
      <c r="L25" s="49"/>
      <c r="M25" s="35" t="str">
        <f t="shared" si="1"/>
        <v>EM DIA</v>
      </c>
      <c r="N25" s="8"/>
      <c r="O25" s="7"/>
    </row>
    <row r="26" spans="1:15" x14ac:dyDescent="0.25">
      <c r="A26" s="44" t="s">
        <v>98</v>
      </c>
      <c r="B26" s="41">
        <v>551199999999</v>
      </c>
      <c r="C26" s="13">
        <v>20</v>
      </c>
      <c r="D26" s="8"/>
      <c r="E26" s="15">
        <v>200</v>
      </c>
      <c r="F26" s="15"/>
      <c r="G26" s="15"/>
      <c r="H26" s="15"/>
      <c r="I26" s="15"/>
      <c r="J26" s="12"/>
      <c r="K26" s="47"/>
      <c r="L26" s="49"/>
      <c r="M26" s="35" t="str">
        <f t="shared" si="1"/>
        <v>EM DIA</v>
      </c>
      <c r="N26" s="8"/>
      <c r="O26" s="7"/>
    </row>
    <row r="27" spans="1:15" x14ac:dyDescent="0.25">
      <c r="A27" s="44" t="s">
        <v>99</v>
      </c>
      <c r="B27" s="41">
        <v>551199999999</v>
      </c>
      <c r="C27" s="13">
        <v>20</v>
      </c>
      <c r="D27" s="8"/>
      <c r="E27" s="15"/>
      <c r="F27" s="15"/>
      <c r="G27" s="15"/>
      <c r="H27" s="15">
        <v>150</v>
      </c>
      <c r="I27" s="15"/>
      <c r="J27" s="12">
        <v>150</v>
      </c>
      <c r="K27" s="47"/>
      <c r="L27" s="49"/>
      <c r="M27" s="35" t="str">
        <f t="shared" si="1"/>
        <v>EM DIA</v>
      </c>
      <c r="N27" s="8"/>
      <c r="O27" s="7"/>
    </row>
    <row r="28" spans="1:15" x14ac:dyDescent="0.25">
      <c r="A28" s="44" t="s">
        <v>100</v>
      </c>
      <c r="B28" s="41">
        <v>551199999999</v>
      </c>
      <c r="C28" s="33">
        <v>30</v>
      </c>
      <c r="D28" s="8"/>
      <c r="E28" s="15"/>
      <c r="F28" s="15"/>
      <c r="G28" s="15"/>
      <c r="H28" s="15"/>
      <c r="I28" s="15">
        <v>300</v>
      </c>
      <c r="J28" s="12"/>
      <c r="K28" s="47">
        <v>300</v>
      </c>
      <c r="L28" s="49"/>
      <c r="M28" s="35" t="str">
        <f t="shared" si="1"/>
        <v>EM ATRASO</v>
      </c>
      <c r="N28" s="8"/>
      <c r="O28" s="7"/>
    </row>
    <row r="29" spans="1:15" x14ac:dyDescent="0.25">
      <c r="A29" s="44" t="s">
        <v>101</v>
      </c>
      <c r="B29" s="41">
        <v>551199999999</v>
      </c>
      <c r="C29" s="33">
        <v>30</v>
      </c>
      <c r="D29" s="8"/>
      <c r="E29" s="15"/>
      <c r="F29" s="15">
        <v>200</v>
      </c>
      <c r="G29" s="15"/>
      <c r="H29" s="15"/>
      <c r="I29" s="15"/>
      <c r="J29" s="12"/>
      <c r="K29" s="47">
        <v>200</v>
      </c>
      <c r="L29" s="49"/>
      <c r="M29" s="35" t="str">
        <f t="shared" si="1"/>
        <v>EM ATRASO</v>
      </c>
      <c r="N29" s="8"/>
      <c r="O29" s="7"/>
    </row>
    <row r="30" spans="1:15" x14ac:dyDescent="0.25">
      <c r="A30" s="44" t="s">
        <v>102</v>
      </c>
      <c r="B30" s="41">
        <v>551199999999</v>
      </c>
      <c r="C30" s="33">
        <v>30</v>
      </c>
      <c r="D30" s="8"/>
      <c r="E30" s="15">
        <v>100</v>
      </c>
      <c r="F30" s="15"/>
      <c r="G30" s="15"/>
      <c r="H30" s="15"/>
      <c r="I30" s="15"/>
      <c r="J30" s="12">
        <v>100</v>
      </c>
      <c r="K30" s="47"/>
      <c r="L30" s="49"/>
      <c r="M30" s="35" t="str">
        <f t="shared" si="1"/>
        <v>EM DIA</v>
      </c>
      <c r="N30" s="8"/>
      <c r="O30" s="7"/>
    </row>
    <row r="31" spans="1:15" x14ac:dyDescent="0.25">
      <c r="A31" s="44" t="s">
        <v>103</v>
      </c>
      <c r="B31" s="41">
        <v>551199999999</v>
      </c>
      <c r="C31" s="33">
        <v>30</v>
      </c>
      <c r="D31" s="8"/>
      <c r="E31" s="15"/>
      <c r="F31" s="15"/>
      <c r="G31" s="15">
        <v>350</v>
      </c>
      <c r="H31" s="15"/>
      <c r="I31" s="15"/>
      <c r="J31" s="12"/>
      <c r="K31" s="47">
        <v>350</v>
      </c>
      <c r="L31" s="49"/>
      <c r="M31" s="35" t="str">
        <f t="shared" si="1"/>
        <v>EM ATRASO</v>
      </c>
      <c r="N31" s="8"/>
      <c r="O31" s="7"/>
    </row>
    <row r="32" spans="1:15" x14ac:dyDescent="0.25">
      <c r="A32" s="44" t="s">
        <v>104</v>
      </c>
      <c r="B32" s="41">
        <v>551199999999</v>
      </c>
      <c r="C32" s="33">
        <v>30</v>
      </c>
      <c r="D32" s="8"/>
      <c r="E32" s="15"/>
      <c r="F32" s="15"/>
      <c r="G32" s="15"/>
      <c r="H32" s="15">
        <v>400</v>
      </c>
      <c r="I32" s="15"/>
      <c r="J32" s="12"/>
      <c r="K32" s="47"/>
      <c r="L32" s="49"/>
      <c r="M32" s="35" t="str">
        <f t="shared" si="1"/>
        <v>EM DIA</v>
      </c>
      <c r="N32" s="8"/>
      <c r="O32" s="7"/>
    </row>
    <row r="33" spans="1:15" x14ac:dyDescent="0.25">
      <c r="A33" s="44" t="s">
        <v>105</v>
      </c>
      <c r="B33" s="41">
        <v>551199999999</v>
      </c>
      <c r="C33" s="33">
        <v>30</v>
      </c>
      <c r="D33" s="8"/>
      <c r="E33" s="15">
        <v>50</v>
      </c>
      <c r="F33" s="15"/>
      <c r="G33" s="15"/>
      <c r="H33" s="15"/>
      <c r="I33" s="15">
        <v>100</v>
      </c>
      <c r="J33" s="12">
        <v>100</v>
      </c>
      <c r="K33" s="47">
        <v>50</v>
      </c>
      <c r="L33" s="49"/>
      <c r="M33" s="35" t="str">
        <f t="shared" si="1"/>
        <v>EM ATRASO</v>
      </c>
      <c r="N33" s="8"/>
      <c r="O33" s="7"/>
    </row>
    <row r="34" spans="1:15" x14ac:dyDescent="0.25">
      <c r="A34" s="44" t="s">
        <v>106</v>
      </c>
      <c r="B34" s="41">
        <v>551199999999</v>
      </c>
      <c r="C34" s="33">
        <v>30</v>
      </c>
      <c r="D34" s="8"/>
      <c r="E34" s="15"/>
      <c r="F34" s="15"/>
      <c r="G34" s="15"/>
      <c r="H34" s="15"/>
      <c r="I34" s="15"/>
      <c r="J34" s="12"/>
      <c r="K34" s="47"/>
      <c r="L34" s="49"/>
      <c r="M34" s="35" t="str">
        <f t="shared" si="1"/>
        <v>EM DIA</v>
      </c>
      <c r="N34" s="8"/>
      <c r="O34" s="7"/>
    </row>
    <row r="35" spans="1:15" x14ac:dyDescent="0.25">
      <c r="A35" s="44" t="s">
        <v>107</v>
      </c>
      <c r="B35" s="41">
        <v>551199999999</v>
      </c>
      <c r="C35" s="33">
        <v>30</v>
      </c>
      <c r="D35" s="8"/>
      <c r="E35" s="15"/>
      <c r="F35" s="15"/>
      <c r="G35" s="15"/>
      <c r="H35" s="15">
        <v>500</v>
      </c>
      <c r="I35" s="15"/>
      <c r="J35" s="12"/>
      <c r="K35" s="47">
        <v>500</v>
      </c>
      <c r="L35" s="49"/>
      <c r="M35" s="35" t="str">
        <f t="shared" si="1"/>
        <v>EM ATRASO</v>
      </c>
      <c r="N35" s="8"/>
      <c r="O35" s="7"/>
    </row>
    <row r="36" spans="1:15" x14ac:dyDescent="0.25">
      <c r="A36" s="44" t="s">
        <v>108</v>
      </c>
      <c r="B36" s="41">
        <v>551199999999</v>
      </c>
      <c r="C36" s="33">
        <v>30</v>
      </c>
      <c r="D36" s="4"/>
      <c r="E36" s="45"/>
      <c r="F36" s="45">
        <v>300</v>
      </c>
      <c r="G36" s="45"/>
      <c r="H36" s="45"/>
      <c r="I36" s="45"/>
      <c r="J36" s="46">
        <v>300</v>
      </c>
      <c r="K36" s="48"/>
      <c r="L36" s="50"/>
      <c r="M36" s="35" t="str">
        <f t="shared" si="1"/>
        <v>EM DIA</v>
      </c>
      <c r="N36" s="4"/>
      <c r="O36" s="5"/>
    </row>
    <row r="37" spans="1:15" x14ac:dyDescent="0.25">
      <c r="A37" s="44" t="s">
        <v>109</v>
      </c>
      <c r="B37" s="41">
        <v>551199999999</v>
      </c>
      <c r="C37" s="33">
        <v>30</v>
      </c>
      <c r="D37" s="35"/>
      <c r="E37" s="15"/>
      <c r="F37" s="15"/>
      <c r="G37" s="15"/>
      <c r="H37" s="15"/>
      <c r="I37" s="15">
        <v>100</v>
      </c>
      <c r="J37" s="12">
        <v>100</v>
      </c>
      <c r="K37" s="47"/>
      <c r="L37" s="49"/>
      <c r="M37" s="35" t="str">
        <f t="shared" si="1"/>
        <v>EM DIA</v>
      </c>
      <c r="N37" s="35"/>
      <c r="O37" s="34"/>
    </row>
    <row r="38" spans="1:15" x14ac:dyDescent="0.25">
      <c r="A38" s="11" t="s">
        <v>26</v>
      </c>
      <c r="B38" s="4"/>
      <c r="C38" s="4"/>
      <c r="D38" s="4"/>
      <c r="E38" s="42">
        <f>SUM(E2:E37)</f>
        <v>2619</v>
      </c>
      <c r="F38" s="42">
        <f>SUM(F2:F37)</f>
        <v>1050</v>
      </c>
      <c r="G38" s="42">
        <f>SUM(G2:G37)</f>
        <v>2110</v>
      </c>
      <c r="H38" s="42">
        <f>SUM(H2:H37)</f>
        <v>2569</v>
      </c>
      <c r="I38" s="42">
        <f>SUM(I2:I37)</f>
        <v>1730</v>
      </c>
      <c r="J38" s="42">
        <f>SUM(J2:J37)</f>
        <v>4218</v>
      </c>
      <c r="K38" s="42">
        <f>SUM(K2:K37)</f>
        <v>4180</v>
      </c>
      <c r="L38" s="4">
        <f ca="1">SUM(L2:L37)</f>
        <v>176</v>
      </c>
      <c r="M38" s="4">
        <f>SUM(M2:M37)</f>
        <v>0</v>
      </c>
      <c r="N38" s="4">
        <f>SUM(N2:N37)</f>
        <v>0</v>
      </c>
      <c r="O38" s="5">
        <f>SUBTOTAL(103,Tabela2[Observações])</f>
        <v>0</v>
      </c>
    </row>
  </sheetData>
  <conditionalFormatting sqref="M2:M37">
    <cfRule type="containsText" dxfId="123" priority="1" operator="containsText" text="EM DIA">
      <formula>NOT(ISERROR(SEARCH("EM DIA",M2)))</formula>
    </cfRule>
    <cfRule type="containsText" dxfId="122" priority="2" operator="containsText" text="EM ATRASO">
      <formula>NOT(ISERROR(SEARCH("EM ATRASO",M2)))</formula>
    </cfRule>
    <cfRule type="containsText" dxfId="121" priority="3" operator="containsText" text="EM DIA">
      <formula>NOT(ISERROR(SEARCH("EM DIA",M2)))</formula>
    </cfRule>
    <cfRule type="containsText" dxfId="120" priority="4" operator="containsText" text="EM DIA">
      <formula>NOT(ISERROR(SEARCH("EM DIA",M2)))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6082-E635-4DDE-93D4-250437E2AC79}">
  <dimension ref="A1:M37"/>
  <sheetViews>
    <sheetView workbookViewId="0">
      <selection activeCell="O3" sqref="O3"/>
    </sheetView>
  </sheetViews>
  <sheetFormatPr defaultRowHeight="15" x14ac:dyDescent="0.25"/>
  <cols>
    <col min="1" max="1" width="14.7109375" customWidth="1"/>
    <col min="2" max="2" width="11.140625" customWidth="1"/>
    <col min="3" max="3" width="21.28515625" customWidth="1"/>
    <col min="4" max="4" width="14.5703125" customWidth="1"/>
    <col min="5" max="5" width="11.7109375" customWidth="1"/>
    <col min="10" max="10" width="12.42578125" customWidth="1"/>
    <col min="11" max="11" width="17.28515625" customWidth="1"/>
    <col min="12" max="12" width="16.5703125" customWidth="1"/>
  </cols>
  <sheetData>
    <row r="1" spans="1:13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25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25">
      <c r="A2" t="s">
        <v>32</v>
      </c>
      <c r="B2">
        <v>5511969346006</v>
      </c>
      <c r="C2">
        <v>10</v>
      </c>
      <c r="L2">
        <v>0</v>
      </c>
      <c r="M2" t="s">
        <v>115</v>
      </c>
    </row>
    <row r="3" spans="1:13" x14ac:dyDescent="0.25">
      <c r="A3" t="s">
        <v>46</v>
      </c>
      <c r="B3">
        <v>551199999999</v>
      </c>
      <c r="C3">
        <v>10</v>
      </c>
      <c r="E3">
        <v>200</v>
      </c>
      <c r="J3">
        <v>200</v>
      </c>
      <c r="L3">
        <v>0</v>
      </c>
      <c r="M3" t="s">
        <v>115</v>
      </c>
    </row>
    <row r="4" spans="1:13" x14ac:dyDescent="0.25">
      <c r="A4" t="s">
        <v>47</v>
      </c>
      <c r="B4">
        <v>551199999999</v>
      </c>
      <c r="C4">
        <v>10</v>
      </c>
      <c r="E4">
        <v>350</v>
      </c>
      <c r="K4">
        <v>350</v>
      </c>
      <c r="L4">
        <v>24</v>
      </c>
      <c r="M4" t="s">
        <v>114</v>
      </c>
    </row>
    <row r="5" spans="1:13" x14ac:dyDescent="0.25">
      <c r="A5" t="s">
        <v>44</v>
      </c>
      <c r="B5">
        <v>551199999999</v>
      </c>
      <c r="C5">
        <v>10</v>
      </c>
      <c r="F5">
        <v>300</v>
      </c>
      <c r="K5">
        <v>300</v>
      </c>
      <c r="L5">
        <v>24</v>
      </c>
      <c r="M5" t="s">
        <v>114</v>
      </c>
    </row>
    <row r="6" spans="1:13" x14ac:dyDescent="0.25">
      <c r="A6" t="s">
        <v>48</v>
      </c>
      <c r="B6">
        <v>551199999999</v>
      </c>
      <c r="C6">
        <v>10</v>
      </c>
      <c r="E6">
        <v>400</v>
      </c>
      <c r="K6">
        <v>400</v>
      </c>
      <c r="L6">
        <v>24</v>
      </c>
      <c r="M6" t="s">
        <v>114</v>
      </c>
    </row>
    <row r="7" spans="1:13" x14ac:dyDescent="0.25">
      <c r="A7" t="s">
        <v>49</v>
      </c>
      <c r="B7">
        <v>551199999999</v>
      </c>
      <c r="C7">
        <v>10</v>
      </c>
      <c r="G7">
        <v>250</v>
      </c>
      <c r="J7">
        <v>250</v>
      </c>
      <c r="L7">
        <v>0</v>
      </c>
      <c r="M7" t="s">
        <v>115</v>
      </c>
    </row>
    <row r="8" spans="1:13" x14ac:dyDescent="0.25">
      <c r="A8" t="s">
        <v>50</v>
      </c>
      <c r="B8">
        <v>551199999999</v>
      </c>
      <c r="C8">
        <v>15</v>
      </c>
      <c r="H8">
        <v>549</v>
      </c>
      <c r="J8">
        <v>549</v>
      </c>
      <c r="L8">
        <v>0</v>
      </c>
      <c r="M8" t="s">
        <v>115</v>
      </c>
    </row>
    <row r="9" spans="1:13" x14ac:dyDescent="0.25">
      <c r="A9" t="s">
        <v>52</v>
      </c>
      <c r="B9">
        <v>551199999999</v>
      </c>
      <c r="C9">
        <v>15</v>
      </c>
      <c r="E9">
        <v>219</v>
      </c>
      <c r="J9">
        <v>219</v>
      </c>
      <c r="L9">
        <v>0</v>
      </c>
      <c r="M9" t="s">
        <v>115</v>
      </c>
    </row>
    <row r="10" spans="1:13" x14ac:dyDescent="0.25">
      <c r="A10" t="s">
        <v>82</v>
      </c>
      <c r="B10">
        <v>551199999999</v>
      </c>
      <c r="C10">
        <v>15</v>
      </c>
      <c r="H10">
        <v>350</v>
      </c>
      <c r="K10">
        <v>350</v>
      </c>
      <c r="L10">
        <v>19</v>
      </c>
      <c r="M10" t="s">
        <v>114</v>
      </c>
    </row>
    <row r="11" spans="1:13" x14ac:dyDescent="0.25">
      <c r="A11" t="s">
        <v>83</v>
      </c>
      <c r="B11">
        <v>551199999999</v>
      </c>
      <c r="C11">
        <v>15</v>
      </c>
      <c r="E11">
        <v>500</v>
      </c>
      <c r="I11">
        <v>200</v>
      </c>
      <c r="K11">
        <v>200</v>
      </c>
      <c r="L11">
        <v>19</v>
      </c>
      <c r="M11" t="s">
        <v>114</v>
      </c>
    </row>
    <row r="12" spans="1:13" x14ac:dyDescent="0.25">
      <c r="A12" t="s">
        <v>84</v>
      </c>
      <c r="B12">
        <v>551199999999</v>
      </c>
      <c r="C12">
        <v>15</v>
      </c>
      <c r="G12">
        <v>150</v>
      </c>
      <c r="J12">
        <v>150</v>
      </c>
      <c r="L12">
        <v>0</v>
      </c>
      <c r="M12" t="s">
        <v>115</v>
      </c>
    </row>
    <row r="13" spans="1:13" x14ac:dyDescent="0.25">
      <c r="A13" t="s">
        <v>85</v>
      </c>
      <c r="B13">
        <v>551199999999</v>
      </c>
      <c r="C13">
        <v>15</v>
      </c>
      <c r="H13">
        <v>100</v>
      </c>
      <c r="K13">
        <v>100</v>
      </c>
      <c r="L13">
        <v>19</v>
      </c>
      <c r="M13" t="s">
        <v>114</v>
      </c>
    </row>
    <row r="14" spans="1:13" x14ac:dyDescent="0.25">
      <c r="A14" t="s">
        <v>86</v>
      </c>
      <c r="B14">
        <v>551199999999</v>
      </c>
      <c r="C14">
        <v>15</v>
      </c>
      <c r="E14">
        <v>350</v>
      </c>
      <c r="L14">
        <v>0</v>
      </c>
      <c r="M14" t="s">
        <v>115</v>
      </c>
    </row>
    <row r="15" spans="1:13" x14ac:dyDescent="0.25">
      <c r="A15" t="s">
        <v>87</v>
      </c>
      <c r="B15">
        <v>551199999999</v>
      </c>
      <c r="C15">
        <v>15</v>
      </c>
      <c r="F15">
        <v>50</v>
      </c>
      <c r="I15">
        <v>250</v>
      </c>
      <c r="J15">
        <v>100</v>
      </c>
      <c r="K15">
        <v>150</v>
      </c>
      <c r="L15">
        <v>19</v>
      </c>
      <c r="M15" t="s">
        <v>114</v>
      </c>
    </row>
    <row r="16" spans="1:13" x14ac:dyDescent="0.25">
      <c r="A16" t="s">
        <v>88</v>
      </c>
      <c r="B16">
        <v>551199999999</v>
      </c>
      <c r="C16">
        <v>15</v>
      </c>
      <c r="G16">
        <v>80</v>
      </c>
      <c r="L16">
        <v>0</v>
      </c>
      <c r="M16" t="s">
        <v>115</v>
      </c>
    </row>
    <row r="17" spans="1:13" x14ac:dyDescent="0.25">
      <c r="A17" t="s">
        <v>89</v>
      </c>
      <c r="B17">
        <v>551199999999</v>
      </c>
      <c r="C17">
        <v>20</v>
      </c>
      <c r="H17">
        <v>120</v>
      </c>
      <c r="J17">
        <v>120</v>
      </c>
      <c r="L17">
        <v>0</v>
      </c>
      <c r="M17" t="s">
        <v>115</v>
      </c>
    </row>
    <row r="18" spans="1:13" x14ac:dyDescent="0.25">
      <c r="A18" t="s">
        <v>90</v>
      </c>
      <c r="B18">
        <v>551199999999</v>
      </c>
      <c r="C18">
        <v>20</v>
      </c>
      <c r="E18">
        <v>150</v>
      </c>
      <c r="K18">
        <v>150</v>
      </c>
      <c r="L18">
        <v>14</v>
      </c>
      <c r="M18" t="s">
        <v>114</v>
      </c>
    </row>
    <row r="19" spans="1:13" x14ac:dyDescent="0.25">
      <c r="A19" t="s">
        <v>91</v>
      </c>
      <c r="B19">
        <v>551199999999</v>
      </c>
      <c r="C19">
        <v>20</v>
      </c>
      <c r="I19">
        <v>190</v>
      </c>
      <c r="K19">
        <v>190</v>
      </c>
      <c r="L19">
        <v>14</v>
      </c>
      <c r="M19" t="s">
        <v>114</v>
      </c>
    </row>
    <row r="20" spans="1:13" x14ac:dyDescent="0.25">
      <c r="A20" t="s">
        <v>92</v>
      </c>
      <c r="B20">
        <v>551199999999</v>
      </c>
      <c r="C20">
        <v>20</v>
      </c>
      <c r="F20">
        <v>200</v>
      </c>
      <c r="J20">
        <v>200</v>
      </c>
      <c r="L20">
        <v>0</v>
      </c>
      <c r="M20" t="s">
        <v>115</v>
      </c>
    </row>
    <row r="21" spans="1:13" x14ac:dyDescent="0.25">
      <c r="A21" t="s">
        <v>93</v>
      </c>
      <c r="B21">
        <v>551199999999</v>
      </c>
      <c r="C21">
        <v>20</v>
      </c>
      <c r="G21">
        <v>300</v>
      </c>
      <c r="J21">
        <v>300</v>
      </c>
      <c r="L21">
        <v>0</v>
      </c>
      <c r="M21" t="s">
        <v>115</v>
      </c>
    </row>
    <row r="22" spans="1:13" x14ac:dyDescent="0.25">
      <c r="A22" t="s">
        <v>94</v>
      </c>
      <c r="B22">
        <v>551199999999</v>
      </c>
      <c r="C22">
        <v>20</v>
      </c>
      <c r="H22">
        <v>400</v>
      </c>
      <c r="J22">
        <v>400</v>
      </c>
      <c r="M22" t="s">
        <v>115</v>
      </c>
    </row>
    <row r="23" spans="1:13" x14ac:dyDescent="0.25">
      <c r="A23" t="s">
        <v>95</v>
      </c>
      <c r="B23">
        <v>551199999999</v>
      </c>
      <c r="C23">
        <v>20</v>
      </c>
      <c r="E23">
        <v>100</v>
      </c>
      <c r="M23" t="s">
        <v>115</v>
      </c>
    </row>
    <row r="24" spans="1:13" x14ac:dyDescent="0.25">
      <c r="A24" t="s">
        <v>96</v>
      </c>
      <c r="B24">
        <v>551199999999</v>
      </c>
      <c r="C24">
        <v>20</v>
      </c>
      <c r="I24">
        <v>590</v>
      </c>
      <c r="K24">
        <v>590</v>
      </c>
      <c r="M24" t="s">
        <v>114</v>
      </c>
    </row>
    <row r="25" spans="1:13" x14ac:dyDescent="0.25">
      <c r="A25" t="s">
        <v>97</v>
      </c>
      <c r="B25">
        <v>551199999999</v>
      </c>
      <c r="C25">
        <v>20</v>
      </c>
      <c r="G25">
        <v>980</v>
      </c>
      <c r="J25">
        <v>980</v>
      </c>
      <c r="M25" t="s">
        <v>115</v>
      </c>
    </row>
    <row r="26" spans="1:13" x14ac:dyDescent="0.25">
      <c r="A26" t="s">
        <v>98</v>
      </c>
      <c r="B26">
        <v>551199999999</v>
      </c>
      <c r="C26">
        <v>20</v>
      </c>
      <c r="E26">
        <v>200</v>
      </c>
      <c r="M26" t="s">
        <v>115</v>
      </c>
    </row>
    <row r="27" spans="1:13" x14ac:dyDescent="0.25">
      <c r="A27" t="s">
        <v>99</v>
      </c>
      <c r="B27">
        <v>551199999999</v>
      </c>
      <c r="C27">
        <v>20</v>
      </c>
      <c r="H27">
        <v>150</v>
      </c>
      <c r="J27">
        <v>150</v>
      </c>
      <c r="M27" t="s">
        <v>115</v>
      </c>
    </row>
    <row r="28" spans="1:13" x14ac:dyDescent="0.25">
      <c r="A28" t="s">
        <v>100</v>
      </c>
      <c r="B28">
        <v>551199999999</v>
      </c>
      <c r="C28">
        <v>30</v>
      </c>
      <c r="I28">
        <v>300</v>
      </c>
      <c r="K28">
        <v>300</v>
      </c>
      <c r="M28" t="s">
        <v>114</v>
      </c>
    </row>
    <row r="29" spans="1:13" x14ac:dyDescent="0.25">
      <c r="A29" t="s">
        <v>101</v>
      </c>
      <c r="B29">
        <v>551199999999</v>
      </c>
      <c r="C29">
        <v>30</v>
      </c>
      <c r="F29">
        <v>200</v>
      </c>
      <c r="K29">
        <v>200</v>
      </c>
      <c r="M29" t="s">
        <v>114</v>
      </c>
    </row>
    <row r="30" spans="1:13" x14ac:dyDescent="0.25">
      <c r="A30" t="s">
        <v>102</v>
      </c>
      <c r="B30">
        <v>551199999999</v>
      </c>
      <c r="C30">
        <v>30</v>
      </c>
      <c r="E30">
        <v>100</v>
      </c>
      <c r="J30">
        <v>100</v>
      </c>
      <c r="M30" t="s">
        <v>115</v>
      </c>
    </row>
    <row r="31" spans="1:13" x14ac:dyDescent="0.25">
      <c r="A31" t="s">
        <v>103</v>
      </c>
      <c r="B31">
        <v>551199999999</v>
      </c>
      <c r="C31">
        <v>30</v>
      </c>
      <c r="G31">
        <v>350</v>
      </c>
      <c r="K31">
        <v>350</v>
      </c>
      <c r="M31" t="s">
        <v>114</v>
      </c>
    </row>
    <row r="32" spans="1:13" x14ac:dyDescent="0.25">
      <c r="A32" t="s">
        <v>104</v>
      </c>
      <c r="B32">
        <v>551199999999</v>
      </c>
      <c r="C32">
        <v>30</v>
      </c>
      <c r="H32">
        <v>400</v>
      </c>
      <c r="M32" t="s">
        <v>115</v>
      </c>
    </row>
    <row r="33" spans="1:13" x14ac:dyDescent="0.25">
      <c r="A33" t="s">
        <v>105</v>
      </c>
      <c r="B33">
        <v>551199999999</v>
      </c>
      <c r="C33">
        <v>30</v>
      </c>
      <c r="E33">
        <v>50</v>
      </c>
      <c r="I33">
        <v>100</v>
      </c>
      <c r="J33">
        <v>100</v>
      </c>
      <c r="K33">
        <v>50</v>
      </c>
      <c r="M33" t="s">
        <v>114</v>
      </c>
    </row>
    <row r="34" spans="1:13" x14ac:dyDescent="0.25">
      <c r="A34" t="s">
        <v>106</v>
      </c>
      <c r="B34">
        <v>551199999999</v>
      </c>
      <c r="C34">
        <v>30</v>
      </c>
      <c r="M34" t="s">
        <v>115</v>
      </c>
    </row>
    <row r="35" spans="1:13" x14ac:dyDescent="0.25">
      <c r="A35" t="s">
        <v>107</v>
      </c>
      <c r="B35">
        <v>551199999999</v>
      </c>
      <c r="C35">
        <v>30</v>
      </c>
      <c r="H35">
        <v>500</v>
      </c>
      <c r="K35">
        <v>500</v>
      </c>
      <c r="M35" t="s">
        <v>114</v>
      </c>
    </row>
    <row r="36" spans="1:13" x14ac:dyDescent="0.25">
      <c r="A36" t="s">
        <v>108</v>
      </c>
      <c r="B36">
        <v>551199999999</v>
      </c>
      <c r="C36">
        <v>30</v>
      </c>
      <c r="F36">
        <v>300</v>
      </c>
      <c r="J36">
        <v>300</v>
      </c>
      <c r="M36" t="s">
        <v>115</v>
      </c>
    </row>
    <row r="37" spans="1:13" x14ac:dyDescent="0.25">
      <c r="A37" t="s">
        <v>109</v>
      </c>
      <c r="B37">
        <v>551199999999</v>
      </c>
      <c r="C37">
        <v>30</v>
      </c>
      <c r="I37">
        <v>100</v>
      </c>
      <c r="J37">
        <v>100</v>
      </c>
      <c r="M37" t="s">
        <v>115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7440-32AE-4D3D-B20E-9CE85377CDB1}">
  <dimension ref="A1:K29"/>
  <sheetViews>
    <sheetView tabSelected="1" workbookViewId="0">
      <selection activeCell="E1" sqref="D1:E4"/>
    </sheetView>
  </sheetViews>
  <sheetFormatPr defaultRowHeight="15" x14ac:dyDescent="0.25"/>
  <cols>
    <col min="1" max="1" width="23.7109375" bestFit="1" customWidth="1"/>
    <col min="2" max="2" width="14.7109375" bestFit="1" customWidth="1"/>
    <col min="3" max="3" width="13.42578125" bestFit="1" customWidth="1"/>
    <col min="4" max="4" width="18.42578125" bestFit="1" customWidth="1"/>
    <col min="5" max="5" width="27.85546875" bestFit="1" customWidth="1"/>
    <col min="6" max="6" width="14.5703125" bestFit="1" customWidth="1"/>
    <col min="7" max="7" width="18.42578125" bestFit="1" customWidth="1"/>
    <col min="8" max="8" width="27.85546875" bestFit="1" customWidth="1"/>
    <col min="9" max="9" width="18.7109375" bestFit="1" customWidth="1"/>
    <col min="10" max="10" width="23.7109375" bestFit="1" customWidth="1"/>
    <col min="11" max="16" width="23" bestFit="1" customWidth="1"/>
  </cols>
  <sheetData>
    <row r="1" spans="1:11" x14ac:dyDescent="0.25">
      <c r="A1" t="s">
        <v>110</v>
      </c>
      <c r="D1" s="1" t="s">
        <v>3</v>
      </c>
      <c r="E1" t="s">
        <v>113</v>
      </c>
      <c r="H1" s="52" t="s">
        <v>110</v>
      </c>
    </row>
    <row r="2" spans="1:11" x14ac:dyDescent="0.25">
      <c r="A2" s="3">
        <v>4180</v>
      </c>
      <c r="D2" s="2" t="s">
        <v>51</v>
      </c>
      <c r="E2" s="3">
        <v>300</v>
      </c>
      <c r="H2" s="52">
        <v>4180</v>
      </c>
    </row>
    <row r="3" spans="1:11" x14ac:dyDescent="0.25">
      <c r="D3" s="51" t="s">
        <v>114</v>
      </c>
      <c r="E3" s="3">
        <v>300</v>
      </c>
    </row>
    <row r="4" spans="1:11" x14ac:dyDescent="0.25">
      <c r="D4" s="2" t="s">
        <v>4</v>
      </c>
      <c r="E4" s="3">
        <v>300</v>
      </c>
    </row>
    <row r="9" spans="1:11" x14ac:dyDescent="0.25">
      <c r="A9" t="s">
        <v>116</v>
      </c>
      <c r="B9" t="s">
        <v>117</v>
      </c>
      <c r="C9" t="s">
        <v>118</v>
      </c>
      <c r="D9" t="s">
        <v>119</v>
      </c>
      <c r="E9" t="s">
        <v>120</v>
      </c>
      <c r="G9" s="1" t="s">
        <v>3</v>
      </c>
      <c r="H9" t="s">
        <v>113</v>
      </c>
      <c r="I9" t="s">
        <v>111</v>
      </c>
      <c r="J9" t="s">
        <v>110</v>
      </c>
      <c r="K9" t="s">
        <v>112</v>
      </c>
    </row>
    <row r="10" spans="1:11" x14ac:dyDescent="0.25">
      <c r="A10" s="3">
        <v>1450</v>
      </c>
      <c r="B10" s="3">
        <v>550</v>
      </c>
      <c r="C10" s="3">
        <v>350</v>
      </c>
      <c r="D10" s="3">
        <v>950</v>
      </c>
      <c r="E10" s="3">
        <v>1630</v>
      </c>
      <c r="G10" s="2" t="s">
        <v>51</v>
      </c>
      <c r="H10" s="3">
        <v>300</v>
      </c>
      <c r="I10" s="3">
        <v>200</v>
      </c>
      <c r="J10" s="3">
        <v>4180</v>
      </c>
      <c r="K10" s="3">
        <v>176</v>
      </c>
    </row>
    <row r="11" spans="1:11" x14ac:dyDescent="0.25">
      <c r="G11" s="2" t="s">
        <v>4</v>
      </c>
      <c r="H11" s="3">
        <v>300</v>
      </c>
      <c r="I11" s="3">
        <v>200</v>
      </c>
      <c r="J11" s="3">
        <v>4180</v>
      </c>
      <c r="K11" s="3">
        <v>176</v>
      </c>
    </row>
    <row r="28" spans="1:1" x14ac:dyDescent="0.25">
      <c r="A28" t="s">
        <v>110</v>
      </c>
    </row>
    <row r="29" spans="1:1" x14ac:dyDescent="0.25">
      <c r="A29" s="3">
        <v>4180</v>
      </c>
    </row>
  </sheetData>
  <pageMargins left="0.511811024" right="0.511811024" top="0.78740157499999996" bottom="0.78740157499999996" header="0.31496062000000002" footer="0.31496062000000002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FBA8-5D77-43DF-94B8-A822A15CEA9F}">
  <dimension ref="A1:M130"/>
  <sheetViews>
    <sheetView topLeftCell="A8" workbookViewId="0">
      <selection activeCell="B12" sqref="B12:B39"/>
    </sheetView>
  </sheetViews>
  <sheetFormatPr defaultRowHeight="15" x14ac:dyDescent="0.25"/>
  <cols>
    <col min="1" max="1" width="43" customWidth="1"/>
    <col min="2" max="2" width="30" style="10" customWidth="1"/>
    <col min="3" max="3" width="21.5703125" customWidth="1"/>
    <col min="4" max="4" width="10.5703125" customWidth="1"/>
    <col min="5" max="5" width="18.7109375" customWidth="1"/>
    <col min="6" max="6" width="18.28515625" customWidth="1"/>
    <col min="11" max="11" width="13" customWidth="1"/>
    <col min="12" max="12" width="13.85546875" customWidth="1"/>
    <col min="13" max="13" width="19.42578125" customWidth="1"/>
  </cols>
  <sheetData>
    <row r="1" spans="1:6" x14ac:dyDescent="0.25">
      <c r="A1" s="39" t="s">
        <v>33</v>
      </c>
      <c r="B1" s="39" t="s">
        <v>34</v>
      </c>
      <c r="C1" s="39" t="s">
        <v>35</v>
      </c>
      <c r="D1" s="39" t="s">
        <v>36</v>
      </c>
      <c r="E1" s="39" t="s">
        <v>37</v>
      </c>
      <c r="F1" s="39" t="s">
        <v>38</v>
      </c>
    </row>
    <row r="2" spans="1:6" x14ac:dyDescent="0.25">
      <c r="A2" s="31" t="s">
        <v>8</v>
      </c>
      <c r="B2" s="31"/>
      <c r="C2" s="31"/>
      <c r="D2" s="31"/>
      <c r="E2" s="31"/>
      <c r="F2" s="31"/>
    </row>
    <row r="3" spans="1:6" x14ac:dyDescent="0.25">
      <c r="A3" s="29"/>
      <c r="B3" s="27" t="s">
        <v>0</v>
      </c>
      <c r="C3" s="27" t="s">
        <v>1</v>
      </c>
      <c r="D3" s="27"/>
      <c r="E3" s="32" t="s">
        <v>6</v>
      </c>
      <c r="F3" s="37" t="s">
        <v>5</v>
      </c>
    </row>
    <row r="4" spans="1:6" x14ac:dyDescent="0.25">
      <c r="A4" s="36" t="s">
        <v>39</v>
      </c>
      <c r="B4" s="23" t="s">
        <v>32</v>
      </c>
      <c r="C4" s="30">
        <v>5511969346006</v>
      </c>
      <c r="D4" s="30"/>
      <c r="E4" s="25" t="s">
        <v>7</v>
      </c>
      <c r="F4" s="38" t="str">
        <f>HYPERLINK(
 "https://wa.me/" &amp; SUBSTITUTE(C4," ","") &amp;
 "?text=Olá,%20responsável%20" &amp; SUBSTITUTE(B4," ","%20") &amp;
 "%20pelo%20aluno%20" &amp; SUBSTITUTE(A4," ","%20") &amp; ".%20" &amp;
 SUBSTITUTE(D4," ","%20"),
 "ENVIAR"
)</f>
        <v>ENVIAR</v>
      </c>
    </row>
    <row r="5" spans="1:6" x14ac:dyDescent="0.25">
      <c r="A5" s="36" t="s">
        <v>40</v>
      </c>
      <c r="B5" s="23" t="s">
        <v>46</v>
      </c>
      <c r="C5" s="30">
        <v>5511999999999</v>
      </c>
      <c r="D5" s="30"/>
      <c r="E5" s="25" t="s">
        <v>7</v>
      </c>
      <c r="F5" s="38" t="str">
        <f t="shared" ref="F5:F21" si="0">HYPERLINK(
 "https://wa.me/" &amp; SUBSTITUTE(C5," ","") &amp;
 "?text=Olá,%20responsável%20" &amp; SUBSTITUTE(B5," ","%20") &amp;
 "%20pelo%20aluno%20" &amp; SUBSTITUTE(A5," ","%20") &amp; ".%20" &amp;
 SUBSTITUTE(D5," ","%20"),
 "ENVIAR"
)</f>
        <v>ENVIAR</v>
      </c>
    </row>
    <row r="6" spans="1:6" x14ac:dyDescent="0.25">
      <c r="A6" s="36" t="s">
        <v>41</v>
      </c>
      <c r="B6" s="23" t="s">
        <v>47</v>
      </c>
      <c r="C6" s="30">
        <v>5511999999999</v>
      </c>
      <c r="D6" s="30"/>
      <c r="E6" s="25" t="s">
        <v>7</v>
      </c>
      <c r="F6" s="38" t="str">
        <f t="shared" si="0"/>
        <v>ENVIAR</v>
      </c>
    </row>
    <row r="7" spans="1:6" x14ac:dyDescent="0.25">
      <c r="A7" s="36" t="s">
        <v>42</v>
      </c>
      <c r="B7" s="23" t="s">
        <v>44</v>
      </c>
      <c r="C7" s="30">
        <v>5511999999999</v>
      </c>
      <c r="D7" s="30"/>
      <c r="E7" s="25" t="s">
        <v>7</v>
      </c>
      <c r="F7" s="38" t="str">
        <f t="shared" si="0"/>
        <v>ENVIAR</v>
      </c>
    </row>
    <row r="8" spans="1:6" x14ac:dyDescent="0.25">
      <c r="A8" s="36" t="s">
        <v>43</v>
      </c>
      <c r="B8" s="23" t="s">
        <v>48</v>
      </c>
      <c r="C8" s="30">
        <v>5511999999999</v>
      </c>
      <c r="D8" s="30"/>
      <c r="E8" s="25" t="s">
        <v>7</v>
      </c>
      <c r="F8" s="38" t="str">
        <f t="shared" si="0"/>
        <v>ENVIAR</v>
      </c>
    </row>
    <row r="9" spans="1:6" x14ac:dyDescent="0.25">
      <c r="A9" s="36" t="s">
        <v>44</v>
      </c>
      <c r="B9" s="23" t="s">
        <v>49</v>
      </c>
      <c r="C9" s="30">
        <v>5511999999999</v>
      </c>
      <c r="D9" s="30"/>
      <c r="E9" s="25" t="s">
        <v>7</v>
      </c>
      <c r="F9" s="38" t="str">
        <f t="shared" si="0"/>
        <v>ENVIAR</v>
      </c>
    </row>
    <row r="10" spans="1:6" x14ac:dyDescent="0.25">
      <c r="A10" s="36" t="s">
        <v>45</v>
      </c>
      <c r="B10" s="23" t="s">
        <v>50</v>
      </c>
      <c r="C10" s="30">
        <v>5511999999999</v>
      </c>
      <c r="D10" s="30"/>
      <c r="E10" s="25" t="s">
        <v>7</v>
      </c>
      <c r="F10" s="38" t="str">
        <f t="shared" si="0"/>
        <v>ENVIAR</v>
      </c>
    </row>
    <row r="11" spans="1:6" x14ac:dyDescent="0.25">
      <c r="A11" s="44" t="s">
        <v>53</v>
      </c>
      <c r="B11" s="44" t="s">
        <v>52</v>
      </c>
      <c r="C11" s="30"/>
      <c r="D11" s="30"/>
      <c r="E11" s="25" t="s">
        <v>7</v>
      </c>
      <c r="F11" s="38" t="str">
        <f t="shared" si="0"/>
        <v>ENVIAR</v>
      </c>
    </row>
    <row r="12" spans="1:6" x14ac:dyDescent="0.25">
      <c r="A12" s="44" t="s">
        <v>54</v>
      </c>
      <c r="B12" t="s">
        <v>82</v>
      </c>
      <c r="C12" s="30"/>
      <c r="D12" s="30"/>
      <c r="E12" s="25" t="s">
        <v>7</v>
      </c>
      <c r="F12" s="38" t="str">
        <f t="shared" si="0"/>
        <v>ENVIAR</v>
      </c>
    </row>
    <row r="13" spans="1:6" x14ac:dyDescent="0.25">
      <c r="A13" s="44" t="s">
        <v>55</v>
      </c>
      <c r="B13" s="35" t="s">
        <v>83</v>
      </c>
      <c r="C13" s="30"/>
      <c r="D13" s="30"/>
      <c r="E13" s="25" t="s">
        <v>7</v>
      </c>
      <c r="F13" s="38" t="str">
        <f t="shared" si="0"/>
        <v>ENVIAR</v>
      </c>
    </row>
    <row r="14" spans="1:6" x14ac:dyDescent="0.25">
      <c r="A14" s="44" t="s">
        <v>56</v>
      </c>
      <c r="B14" s="44" t="s">
        <v>84</v>
      </c>
      <c r="C14" s="30"/>
      <c r="D14" s="30"/>
      <c r="E14" s="25" t="s">
        <v>7</v>
      </c>
      <c r="F14" s="38" t="str">
        <f t="shared" si="0"/>
        <v>ENVIAR</v>
      </c>
    </row>
    <row r="15" spans="1:6" x14ac:dyDescent="0.25">
      <c r="A15" s="44" t="s">
        <v>57</v>
      </c>
      <c r="B15" s="44" t="s">
        <v>85</v>
      </c>
      <c r="C15" s="30"/>
      <c r="D15" s="30"/>
      <c r="E15" s="25" t="s">
        <v>7</v>
      </c>
      <c r="F15" s="38" t="str">
        <f t="shared" si="0"/>
        <v>ENVIAR</v>
      </c>
    </row>
    <row r="16" spans="1:6" x14ac:dyDescent="0.25">
      <c r="A16" s="44" t="s">
        <v>58</v>
      </c>
      <c r="B16" s="44" t="s">
        <v>86</v>
      </c>
      <c r="C16" s="30"/>
      <c r="D16" s="30"/>
      <c r="E16" s="25" t="s">
        <v>7</v>
      </c>
      <c r="F16" s="38" t="str">
        <f t="shared" si="0"/>
        <v>ENVIAR</v>
      </c>
    </row>
    <row r="17" spans="1:13" x14ac:dyDescent="0.25">
      <c r="A17" s="44" t="s">
        <v>59</v>
      </c>
      <c r="B17" s="44" t="s">
        <v>87</v>
      </c>
      <c r="C17" s="30"/>
      <c r="D17" s="30"/>
      <c r="E17" s="25" t="s">
        <v>7</v>
      </c>
      <c r="F17" s="38" t="str">
        <f t="shared" si="0"/>
        <v>ENVIAR</v>
      </c>
    </row>
    <row r="18" spans="1:13" x14ac:dyDescent="0.25">
      <c r="A18" s="44" t="s">
        <v>60</v>
      </c>
      <c r="B18" s="44" t="s">
        <v>88</v>
      </c>
      <c r="C18" s="30"/>
      <c r="D18" s="30"/>
      <c r="E18" s="25" t="s">
        <v>7</v>
      </c>
      <c r="F18" s="38" t="str">
        <f t="shared" si="0"/>
        <v>ENVIAR</v>
      </c>
    </row>
    <row r="19" spans="1:13" x14ac:dyDescent="0.25">
      <c r="A19" s="44" t="s">
        <v>61</v>
      </c>
      <c r="B19" s="44" t="s">
        <v>89</v>
      </c>
      <c r="C19" s="30"/>
      <c r="D19" s="30"/>
      <c r="E19" s="25" t="s">
        <v>7</v>
      </c>
      <c r="F19" s="38" t="str">
        <f t="shared" si="0"/>
        <v>ENVIAR</v>
      </c>
      <c r="K19" s="43"/>
    </row>
    <row r="20" spans="1:13" x14ac:dyDescent="0.25">
      <c r="A20" s="44" t="s">
        <v>62</v>
      </c>
      <c r="B20" s="44" t="s">
        <v>90</v>
      </c>
      <c r="C20" s="30"/>
      <c r="D20" s="30"/>
      <c r="E20" s="25" t="s">
        <v>7</v>
      </c>
      <c r="F20" s="38" t="str">
        <f t="shared" si="0"/>
        <v>ENVIAR</v>
      </c>
      <c r="K20" s="43"/>
      <c r="L20" s="43"/>
      <c r="M20" s="43"/>
    </row>
    <row r="21" spans="1:13" x14ac:dyDescent="0.25">
      <c r="A21" s="44" t="s">
        <v>63</v>
      </c>
      <c r="B21" s="44" t="s">
        <v>91</v>
      </c>
      <c r="C21" s="30"/>
      <c r="D21" s="30"/>
      <c r="E21" s="25" t="s">
        <v>7</v>
      </c>
      <c r="F21" s="38" t="str">
        <f t="shared" si="0"/>
        <v>ENVIAR</v>
      </c>
      <c r="K21" s="43"/>
      <c r="L21" s="43"/>
      <c r="M21" s="43"/>
    </row>
    <row r="22" spans="1:13" x14ac:dyDescent="0.25">
      <c r="A22" s="44" t="s">
        <v>64</v>
      </c>
      <c r="B22" s="44" t="s">
        <v>92</v>
      </c>
      <c r="C22" s="25"/>
      <c r="D22" s="25"/>
      <c r="E22" s="25"/>
      <c r="F22" s="26"/>
      <c r="K22" s="43"/>
      <c r="L22" s="43"/>
      <c r="M22" s="43"/>
    </row>
    <row r="23" spans="1:13" x14ac:dyDescent="0.25">
      <c r="A23" s="44" t="s">
        <v>65</v>
      </c>
      <c r="B23" s="44" t="s">
        <v>93</v>
      </c>
      <c r="C23" s="25"/>
      <c r="D23" s="25"/>
      <c r="E23" s="25"/>
      <c r="F23" s="26"/>
      <c r="K23" s="43"/>
      <c r="L23" s="43"/>
      <c r="M23" s="43"/>
    </row>
    <row r="24" spans="1:13" x14ac:dyDescent="0.25">
      <c r="A24" s="44" t="s">
        <v>66</v>
      </c>
      <c r="B24" s="44" t="s">
        <v>94</v>
      </c>
      <c r="C24" s="25"/>
      <c r="D24" s="25"/>
      <c r="E24" s="25"/>
      <c r="F24" s="26"/>
      <c r="K24" s="43"/>
      <c r="L24" s="43"/>
      <c r="M24" s="43"/>
    </row>
    <row r="25" spans="1:13" x14ac:dyDescent="0.25">
      <c r="A25" s="44" t="s">
        <v>67</v>
      </c>
      <c r="B25" s="44" t="s">
        <v>95</v>
      </c>
      <c r="C25" s="25"/>
      <c r="D25" s="25"/>
      <c r="E25" s="25"/>
      <c r="F25" s="26"/>
      <c r="K25" s="43"/>
      <c r="L25" s="43"/>
      <c r="M25" s="43"/>
    </row>
    <row r="26" spans="1:13" x14ac:dyDescent="0.25">
      <c r="A26" s="44" t="s">
        <v>68</v>
      </c>
      <c r="B26" s="44" t="s">
        <v>96</v>
      </c>
      <c r="C26" s="25"/>
      <c r="D26" s="25"/>
      <c r="E26" s="25"/>
      <c r="F26" s="26"/>
      <c r="K26" s="43"/>
      <c r="L26" s="43"/>
      <c r="M26" s="43"/>
    </row>
    <row r="27" spans="1:13" x14ac:dyDescent="0.25">
      <c r="A27" s="44" t="s">
        <v>69</v>
      </c>
      <c r="B27" s="44" t="s">
        <v>97</v>
      </c>
      <c r="C27" s="25"/>
      <c r="D27" s="25"/>
      <c r="E27" s="25"/>
      <c r="F27" s="26"/>
      <c r="K27" s="43"/>
      <c r="L27" s="43"/>
      <c r="M27" s="43"/>
    </row>
    <row r="28" spans="1:13" x14ac:dyDescent="0.25">
      <c r="A28" s="44" t="s">
        <v>70</v>
      </c>
      <c r="B28" s="44" t="s">
        <v>98</v>
      </c>
      <c r="C28" s="25"/>
      <c r="D28" s="25"/>
      <c r="E28" s="25"/>
      <c r="F28" s="26"/>
      <c r="K28" s="43"/>
      <c r="L28" s="43"/>
      <c r="M28" s="43"/>
    </row>
    <row r="29" spans="1:13" x14ac:dyDescent="0.25">
      <c r="A29" s="44" t="s">
        <v>71</v>
      </c>
      <c r="B29" s="44" t="s">
        <v>99</v>
      </c>
      <c r="C29" s="25"/>
      <c r="D29" s="25"/>
      <c r="E29" s="25"/>
      <c r="F29" s="26"/>
      <c r="K29" s="43"/>
      <c r="L29" s="43"/>
      <c r="M29" s="43"/>
    </row>
    <row r="30" spans="1:13" x14ac:dyDescent="0.25">
      <c r="A30" s="44" t="s">
        <v>72</v>
      </c>
      <c r="B30" s="44" t="s">
        <v>100</v>
      </c>
      <c r="C30" s="25"/>
      <c r="D30" s="25"/>
      <c r="E30" s="25"/>
      <c r="F30" s="26"/>
      <c r="K30" s="43"/>
      <c r="L30" s="43"/>
      <c r="M30" s="43"/>
    </row>
    <row r="31" spans="1:13" x14ac:dyDescent="0.25">
      <c r="A31" s="44" t="s">
        <v>73</v>
      </c>
      <c r="B31" s="44" t="s">
        <v>101</v>
      </c>
      <c r="C31" s="25"/>
      <c r="D31" s="25"/>
      <c r="E31" s="25"/>
      <c r="F31" s="26"/>
      <c r="K31" s="43"/>
      <c r="L31" s="43"/>
      <c r="M31" s="43"/>
    </row>
    <row r="32" spans="1:13" x14ac:dyDescent="0.25">
      <c r="A32" s="44" t="s">
        <v>74</v>
      </c>
      <c r="B32" s="44" t="s">
        <v>102</v>
      </c>
      <c r="C32" s="25"/>
      <c r="D32" s="25"/>
      <c r="E32" s="25"/>
      <c r="F32" s="26"/>
      <c r="K32" s="43"/>
      <c r="L32" s="43"/>
      <c r="M32" s="43"/>
    </row>
    <row r="33" spans="1:13" x14ac:dyDescent="0.25">
      <c r="A33" s="44" t="s">
        <v>75</v>
      </c>
      <c r="B33" s="44" t="s">
        <v>103</v>
      </c>
      <c r="C33" s="25"/>
      <c r="D33" s="25"/>
      <c r="E33" s="25"/>
      <c r="F33" s="26"/>
      <c r="K33" s="43"/>
      <c r="L33" s="43"/>
      <c r="M33" s="43"/>
    </row>
    <row r="34" spans="1:13" x14ac:dyDescent="0.25">
      <c r="A34" s="44" t="s">
        <v>76</v>
      </c>
      <c r="B34" s="44" t="s">
        <v>104</v>
      </c>
      <c r="C34" s="25"/>
      <c r="D34" s="25"/>
      <c r="E34" s="25"/>
      <c r="F34" s="26"/>
      <c r="K34" s="43"/>
      <c r="L34" s="43"/>
      <c r="M34" s="43"/>
    </row>
    <row r="35" spans="1:13" x14ac:dyDescent="0.25">
      <c r="A35" s="44" t="s">
        <v>77</v>
      </c>
      <c r="B35" s="44" t="s">
        <v>105</v>
      </c>
      <c r="C35" s="25"/>
      <c r="D35" s="25"/>
      <c r="E35" s="25"/>
      <c r="F35" s="26"/>
      <c r="K35" s="43"/>
      <c r="L35" s="43"/>
      <c r="M35" s="43"/>
    </row>
    <row r="36" spans="1:13" x14ac:dyDescent="0.25">
      <c r="A36" s="44" t="s">
        <v>78</v>
      </c>
      <c r="B36" s="44" t="s">
        <v>106</v>
      </c>
      <c r="C36" s="25"/>
      <c r="D36" s="25"/>
      <c r="E36" s="25"/>
      <c r="F36" s="26"/>
      <c r="K36" s="43"/>
      <c r="L36" s="43"/>
      <c r="M36" s="43"/>
    </row>
    <row r="37" spans="1:13" x14ac:dyDescent="0.25">
      <c r="A37" s="44" t="s">
        <v>79</v>
      </c>
      <c r="B37" s="44" t="s">
        <v>107</v>
      </c>
      <c r="C37" s="25"/>
      <c r="D37" s="25"/>
      <c r="E37" s="25"/>
      <c r="F37" s="26"/>
      <c r="K37" s="43"/>
      <c r="L37" s="43"/>
      <c r="M37" s="43"/>
    </row>
    <row r="38" spans="1:13" x14ac:dyDescent="0.25">
      <c r="A38" s="44" t="s">
        <v>80</v>
      </c>
      <c r="B38" s="44" t="s">
        <v>108</v>
      </c>
      <c r="C38" s="25"/>
      <c r="D38" s="25"/>
      <c r="E38" s="25"/>
      <c r="F38" s="26"/>
      <c r="K38" s="43"/>
      <c r="L38" s="43"/>
      <c r="M38" s="43"/>
    </row>
    <row r="39" spans="1:13" x14ac:dyDescent="0.25">
      <c r="A39" s="44" t="s">
        <v>81</v>
      </c>
      <c r="B39" s="44" t="s">
        <v>109</v>
      </c>
      <c r="C39" s="25"/>
      <c r="D39" s="25"/>
      <c r="E39" s="25"/>
      <c r="F39" s="26"/>
      <c r="K39" s="43"/>
      <c r="L39" s="43"/>
      <c r="M39" s="43"/>
    </row>
    <row r="40" spans="1:13" x14ac:dyDescent="0.25">
      <c r="A40" s="28"/>
      <c r="B40" s="25"/>
      <c r="C40" s="25"/>
      <c r="D40" s="25"/>
      <c r="E40" s="25"/>
      <c r="F40" s="26"/>
      <c r="K40" s="43"/>
      <c r="L40" s="43"/>
      <c r="M40" s="43"/>
    </row>
    <row r="41" spans="1:13" x14ac:dyDescent="0.25">
      <c r="A41" s="28"/>
      <c r="B41" s="25"/>
      <c r="C41" s="25"/>
      <c r="D41" s="25"/>
      <c r="E41" s="25"/>
      <c r="F41" s="26"/>
      <c r="K41" s="43"/>
      <c r="L41" s="43"/>
      <c r="M41" s="43"/>
    </row>
    <row r="42" spans="1:13" x14ac:dyDescent="0.25">
      <c r="A42" s="28"/>
      <c r="B42" s="25"/>
      <c r="C42" s="25"/>
      <c r="D42" s="25"/>
      <c r="E42" s="25"/>
      <c r="F42" s="26"/>
      <c r="K42" s="43"/>
      <c r="L42" s="43"/>
      <c r="M42" s="43"/>
    </row>
    <row r="43" spans="1:13" x14ac:dyDescent="0.25">
      <c r="A43" s="28"/>
      <c r="B43" s="25"/>
      <c r="C43" s="25"/>
      <c r="D43" s="25"/>
      <c r="E43" s="25"/>
      <c r="F43" s="26"/>
      <c r="K43" s="43"/>
      <c r="L43" s="43"/>
      <c r="M43" s="43"/>
    </row>
    <row r="44" spans="1:13" x14ac:dyDescent="0.25">
      <c r="A44" s="28"/>
      <c r="B44" s="25"/>
      <c r="C44" s="25"/>
      <c r="D44" s="25"/>
      <c r="E44" s="25"/>
      <c r="F44" s="26"/>
      <c r="K44" s="43"/>
      <c r="L44" s="43"/>
      <c r="M44" s="43"/>
    </row>
    <row r="45" spans="1:13" x14ac:dyDescent="0.25">
      <c r="A45" s="28"/>
      <c r="B45" s="25"/>
      <c r="C45" s="25"/>
      <c r="D45" s="25"/>
      <c r="E45" s="25"/>
      <c r="F45" s="26"/>
      <c r="K45" s="43"/>
      <c r="L45" s="43"/>
      <c r="M45" s="43"/>
    </row>
    <row r="46" spans="1:13" x14ac:dyDescent="0.25">
      <c r="A46" s="28"/>
      <c r="B46" s="25"/>
      <c r="C46" s="25"/>
      <c r="D46" s="25"/>
      <c r="E46" s="25"/>
      <c r="F46" s="26"/>
    </row>
    <row r="47" spans="1:13" x14ac:dyDescent="0.25">
      <c r="A47" s="28"/>
      <c r="B47" s="25"/>
      <c r="C47" s="25"/>
      <c r="D47" s="25"/>
      <c r="E47" s="25"/>
      <c r="F47" s="26"/>
    </row>
    <row r="48" spans="1:13" x14ac:dyDescent="0.25">
      <c r="A48" s="28"/>
      <c r="B48" s="25"/>
      <c r="C48" s="25"/>
      <c r="D48" s="25"/>
      <c r="E48" s="25"/>
      <c r="F48" s="26"/>
    </row>
    <row r="49" spans="1:6" x14ac:dyDescent="0.25">
      <c r="A49" s="28"/>
      <c r="B49" s="25"/>
      <c r="C49" s="25"/>
      <c r="D49" s="25"/>
      <c r="E49" s="25"/>
      <c r="F49" s="26"/>
    </row>
    <row r="50" spans="1:6" x14ac:dyDescent="0.25">
      <c r="A50" s="28"/>
      <c r="B50" s="25"/>
      <c r="C50" s="25"/>
      <c r="D50" s="25"/>
      <c r="E50" s="25"/>
      <c r="F50" s="26"/>
    </row>
    <row r="51" spans="1:6" x14ac:dyDescent="0.25">
      <c r="A51" s="28"/>
      <c r="B51" s="25"/>
      <c r="C51" s="25"/>
      <c r="D51" s="25"/>
      <c r="E51" s="25"/>
      <c r="F51" s="26"/>
    </row>
    <row r="52" spans="1:6" x14ac:dyDescent="0.25">
      <c r="A52" s="28"/>
      <c r="B52" s="25"/>
      <c r="C52" s="25"/>
      <c r="D52" s="25"/>
      <c r="E52" s="25"/>
      <c r="F52" s="26"/>
    </row>
    <row r="53" spans="1:6" x14ac:dyDescent="0.25">
      <c r="A53" s="28"/>
      <c r="B53" s="25"/>
      <c r="C53" s="25"/>
      <c r="D53" s="25"/>
      <c r="E53" s="25"/>
      <c r="F53" s="26"/>
    </row>
    <row r="54" spans="1:6" x14ac:dyDescent="0.25">
      <c r="A54" s="28"/>
      <c r="B54" s="25"/>
      <c r="C54" s="25"/>
      <c r="D54" s="25"/>
      <c r="E54" s="25"/>
      <c r="F54" s="26"/>
    </row>
    <row r="55" spans="1:6" x14ac:dyDescent="0.25">
      <c r="A55" s="28"/>
      <c r="B55" s="25"/>
      <c r="C55" s="25"/>
      <c r="D55" s="25"/>
      <c r="E55" s="25"/>
      <c r="F55" s="26"/>
    </row>
    <row r="56" spans="1:6" x14ac:dyDescent="0.25">
      <c r="A56" s="28"/>
      <c r="B56" s="25"/>
      <c r="C56" s="25"/>
      <c r="D56" s="25"/>
      <c r="E56" s="25"/>
      <c r="F56" s="26"/>
    </row>
    <row r="57" spans="1:6" x14ac:dyDescent="0.25">
      <c r="A57" s="28"/>
      <c r="B57" s="25"/>
      <c r="C57" s="25"/>
      <c r="D57" s="25"/>
      <c r="E57" s="25"/>
      <c r="F57" s="26"/>
    </row>
    <row r="58" spans="1:6" x14ac:dyDescent="0.25">
      <c r="A58" s="28"/>
      <c r="B58" s="25"/>
      <c r="C58" s="25"/>
      <c r="D58" s="25"/>
      <c r="E58" s="25"/>
      <c r="F58" s="26"/>
    </row>
    <row r="59" spans="1:6" x14ac:dyDescent="0.25">
      <c r="A59" s="28"/>
      <c r="B59" s="25"/>
      <c r="C59" s="25"/>
      <c r="D59" s="25"/>
      <c r="E59" s="25"/>
      <c r="F59" s="26"/>
    </row>
    <row r="60" spans="1:6" x14ac:dyDescent="0.25">
      <c r="A60" s="28"/>
      <c r="B60" s="25"/>
      <c r="C60" s="25"/>
      <c r="D60" s="25"/>
      <c r="E60" s="25"/>
      <c r="F60" s="26"/>
    </row>
    <row r="61" spans="1:6" x14ac:dyDescent="0.25">
      <c r="A61" s="28"/>
      <c r="B61" s="25"/>
      <c r="C61" s="25"/>
      <c r="D61" s="25"/>
      <c r="E61" s="25"/>
      <c r="F61" s="26"/>
    </row>
    <row r="62" spans="1:6" x14ac:dyDescent="0.25">
      <c r="A62" s="28"/>
      <c r="B62" s="25"/>
      <c r="C62" s="25"/>
      <c r="D62" s="25"/>
      <c r="E62" s="25"/>
      <c r="F62" s="26"/>
    </row>
    <row r="63" spans="1:6" x14ac:dyDescent="0.25">
      <c r="A63" s="28"/>
      <c r="B63" s="25"/>
      <c r="C63" s="25"/>
      <c r="D63" s="25"/>
      <c r="E63" s="25"/>
      <c r="F63" s="26"/>
    </row>
    <row r="64" spans="1:6" x14ac:dyDescent="0.25">
      <c r="A64" s="28"/>
      <c r="B64" s="25"/>
      <c r="C64" s="25"/>
      <c r="D64" s="25"/>
      <c r="E64" s="25"/>
      <c r="F64" s="26"/>
    </row>
    <row r="65" spans="1:6" x14ac:dyDescent="0.25">
      <c r="A65" s="28"/>
      <c r="B65" s="25"/>
      <c r="C65" s="25"/>
      <c r="D65" s="25"/>
      <c r="E65" s="25"/>
      <c r="F65" s="26"/>
    </row>
    <row r="66" spans="1:6" x14ac:dyDescent="0.25">
      <c r="A66" s="28"/>
      <c r="B66" s="25"/>
      <c r="C66" s="25"/>
      <c r="D66" s="25"/>
      <c r="E66" s="25"/>
      <c r="F66" s="26"/>
    </row>
    <row r="67" spans="1:6" x14ac:dyDescent="0.25">
      <c r="A67" s="28"/>
      <c r="B67" s="25"/>
      <c r="C67" s="25"/>
      <c r="D67" s="25"/>
      <c r="E67" s="25"/>
      <c r="F67" s="26"/>
    </row>
    <row r="68" spans="1:6" x14ac:dyDescent="0.25">
      <c r="A68" s="28"/>
      <c r="B68" s="25"/>
      <c r="C68" s="25"/>
      <c r="D68" s="25"/>
      <c r="E68" s="25"/>
      <c r="F68" s="26"/>
    </row>
    <row r="69" spans="1:6" x14ac:dyDescent="0.25">
      <c r="A69" s="28"/>
      <c r="B69" s="25"/>
      <c r="C69" s="25"/>
      <c r="D69" s="25"/>
      <c r="E69" s="25"/>
      <c r="F69" s="26"/>
    </row>
    <row r="70" spans="1:6" x14ac:dyDescent="0.25">
      <c r="A70" s="28"/>
      <c r="B70" s="25"/>
      <c r="C70" s="25"/>
      <c r="D70" s="25"/>
      <c r="E70" s="25"/>
      <c r="F70" s="26"/>
    </row>
    <row r="71" spans="1:6" x14ac:dyDescent="0.25">
      <c r="A71" s="28"/>
      <c r="B71" s="25"/>
      <c r="C71" s="25"/>
      <c r="D71" s="25"/>
      <c r="E71" s="25"/>
      <c r="F71" s="26"/>
    </row>
    <row r="72" spans="1:6" x14ac:dyDescent="0.25">
      <c r="A72" s="28"/>
      <c r="B72" s="25"/>
      <c r="C72" s="25"/>
      <c r="D72" s="25"/>
      <c r="E72" s="25"/>
      <c r="F72" s="26"/>
    </row>
    <row r="73" spans="1:6" x14ac:dyDescent="0.25">
      <c r="A73" s="28"/>
      <c r="B73" s="25"/>
      <c r="C73" s="25"/>
      <c r="D73" s="25"/>
      <c r="E73" s="25"/>
      <c r="F73" s="26"/>
    </row>
    <row r="74" spans="1:6" x14ac:dyDescent="0.25">
      <c r="A74" s="28"/>
      <c r="B74" s="25"/>
      <c r="C74" s="25"/>
      <c r="D74" s="25"/>
      <c r="E74" s="25"/>
      <c r="F74" s="26"/>
    </row>
    <row r="75" spans="1:6" x14ac:dyDescent="0.25">
      <c r="A75" s="28"/>
      <c r="B75" s="25"/>
      <c r="C75" s="25"/>
      <c r="D75" s="25"/>
      <c r="E75" s="25"/>
      <c r="F75" s="26"/>
    </row>
    <row r="76" spans="1:6" x14ac:dyDescent="0.25">
      <c r="A76" s="28"/>
      <c r="B76" s="25"/>
      <c r="C76" s="25"/>
      <c r="D76" s="25"/>
      <c r="E76" s="25"/>
      <c r="F76" s="26"/>
    </row>
    <row r="77" spans="1:6" x14ac:dyDescent="0.25">
      <c r="A77" s="28"/>
      <c r="B77" s="25"/>
      <c r="C77" s="25"/>
      <c r="D77" s="25"/>
      <c r="E77" s="25"/>
      <c r="F77" s="26"/>
    </row>
    <row r="78" spans="1:6" x14ac:dyDescent="0.25">
      <c r="A78" s="28"/>
      <c r="B78" s="25"/>
      <c r="C78" s="25"/>
      <c r="D78" s="25"/>
      <c r="E78" s="25"/>
      <c r="F78" s="26"/>
    </row>
    <row r="79" spans="1:6" x14ac:dyDescent="0.25">
      <c r="A79" s="28"/>
      <c r="B79" s="25"/>
      <c r="C79" s="25"/>
      <c r="D79" s="25"/>
      <c r="E79" s="25"/>
      <c r="F79" s="26"/>
    </row>
    <row r="80" spans="1:6" x14ac:dyDescent="0.25">
      <c r="A80" s="28"/>
      <c r="B80" s="25"/>
      <c r="C80" s="25"/>
      <c r="D80" s="25"/>
      <c r="E80" s="25"/>
      <c r="F80" s="26"/>
    </row>
    <row r="81" spans="1:6" x14ac:dyDescent="0.25">
      <c r="A81" s="28"/>
      <c r="B81" s="25"/>
      <c r="C81" s="25"/>
      <c r="D81" s="25"/>
      <c r="E81" s="25"/>
      <c r="F81" s="26"/>
    </row>
    <row r="82" spans="1:6" x14ac:dyDescent="0.25">
      <c r="A82" s="28"/>
      <c r="B82" s="25"/>
      <c r="C82" s="25"/>
      <c r="D82" s="25"/>
      <c r="E82" s="25"/>
      <c r="F82" s="26"/>
    </row>
    <row r="83" spans="1:6" x14ac:dyDescent="0.25">
      <c r="A83" s="28"/>
      <c r="B83" s="25"/>
      <c r="C83" s="25"/>
      <c r="D83" s="25"/>
      <c r="E83" s="25"/>
      <c r="F83" s="26"/>
    </row>
    <row r="84" spans="1:6" x14ac:dyDescent="0.25">
      <c r="A84" s="28"/>
      <c r="B84" s="25"/>
      <c r="C84" s="25"/>
      <c r="D84" s="25"/>
      <c r="E84" s="25"/>
      <c r="F84" s="26"/>
    </row>
    <row r="85" spans="1:6" x14ac:dyDescent="0.25">
      <c r="A85" s="28"/>
      <c r="B85" s="25"/>
      <c r="C85" s="25"/>
      <c r="D85" s="25"/>
      <c r="E85" s="25"/>
      <c r="F85" s="26"/>
    </row>
    <row r="86" spans="1:6" x14ac:dyDescent="0.25">
      <c r="A86" s="28"/>
      <c r="B86" s="25"/>
      <c r="C86" s="25"/>
      <c r="D86" s="25"/>
      <c r="E86" s="25"/>
      <c r="F86" s="26"/>
    </row>
    <row r="87" spans="1:6" x14ac:dyDescent="0.25">
      <c r="A87" s="28"/>
      <c r="B87" s="25"/>
      <c r="C87" s="25"/>
      <c r="D87" s="25"/>
      <c r="E87" s="25"/>
      <c r="F87" s="26"/>
    </row>
    <row r="88" spans="1:6" x14ac:dyDescent="0.25">
      <c r="A88" s="28"/>
      <c r="B88" s="25"/>
      <c r="C88" s="25"/>
      <c r="D88" s="25"/>
      <c r="E88" s="25"/>
      <c r="F88" s="26"/>
    </row>
    <row r="89" spans="1:6" x14ac:dyDescent="0.25">
      <c r="A89" s="28"/>
      <c r="B89" s="25"/>
      <c r="C89" s="25"/>
      <c r="D89" s="25"/>
      <c r="E89" s="25"/>
      <c r="F89" s="26"/>
    </row>
    <row r="90" spans="1:6" x14ac:dyDescent="0.25">
      <c r="A90" s="28"/>
      <c r="B90" s="25"/>
      <c r="C90" s="25"/>
      <c r="D90" s="25"/>
      <c r="E90" s="25"/>
      <c r="F90" s="26"/>
    </row>
    <row r="91" spans="1:6" x14ac:dyDescent="0.25">
      <c r="A91" s="28"/>
      <c r="B91" s="25"/>
      <c r="C91" s="25"/>
      <c r="D91" s="25"/>
      <c r="E91" s="25"/>
      <c r="F91" s="26"/>
    </row>
    <row r="92" spans="1:6" x14ac:dyDescent="0.25">
      <c r="A92" s="28"/>
      <c r="B92" s="25"/>
      <c r="C92" s="25"/>
      <c r="D92" s="25"/>
      <c r="E92" s="25"/>
      <c r="F92" s="26"/>
    </row>
    <row r="93" spans="1:6" x14ac:dyDescent="0.25">
      <c r="A93" s="28"/>
      <c r="B93" s="25"/>
      <c r="C93" s="25"/>
      <c r="D93" s="25"/>
      <c r="E93" s="25"/>
      <c r="F93" s="26"/>
    </row>
    <row r="94" spans="1:6" x14ac:dyDescent="0.25">
      <c r="A94" s="28"/>
      <c r="B94" s="25"/>
      <c r="C94" s="25"/>
      <c r="D94" s="25"/>
      <c r="E94" s="25"/>
      <c r="F94" s="26"/>
    </row>
    <row r="95" spans="1:6" x14ac:dyDescent="0.25">
      <c r="A95" s="28"/>
      <c r="B95" s="25"/>
      <c r="C95" s="25"/>
      <c r="D95" s="25"/>
      <c r="E95" s="25"/>
      <c r="F95" s="26"/>
    </row>
    <row r="96" spans="1:6" x14ac:dyDescent="0.25">
      <c r="A96" s="28"/>
      <c r="B96" s="25"/>
      <c r="C96" s="25"/>
      <c r="D96" s="25"/>
      <c r="E96" s="25"/>
      <c r="F96" s="26"/>
    </row>
    <row r="97" spans="1:6" x14ac:dyDescent="0.25">
      <c r="A97" s="28"/>
      <c r="B97" s="25"/>
      <c r="C97" s="25"/>
      <c r="D97" s="25"/>
      <c r="E97" s="25"/>
      <c r="F97" s="26"/>
    </row>
    <row r="98" spans="1:6" x14ac:dyDescent="0.25">
      <c r="A98" s="28"/>
      <c r="B98" s="25"/>
      <c r="C98" s="25"/>
      <c r="D98" s="25"/>
      <c r="E98" s="25"/>
      <c r="F98" s="26"/>
    </row>
    <row r="99" spans="1:6" x14ac:dyDescent="0.25">
      <c r="A99" s="28"/>
      <c r="B99" s="25"/>
      <c r="C99" s="25"/>
      <c r="D99" s="25"/>
      <c r="E99" s="25"/>
      <c r="F99" s="26"/>
    </row>
    <row r="100" spans="1:6" x14ac:dyDescent="0.25">
      <c r="A100" s="28"/>
      <c r="B100" s="25"/>
      <c r="C100" s="25"/>
      <c r="D100" s="25"/>
      <c r="E100" s="25"/>
      <c r="F100" s="26"/>
    </row>
    <row r="101" spans="1:6" x14ac:dyDescent="0.25">
      <c r="A101" s="28"/>
      <c r="B101" s="25"/>
      <c r="C101" s="25"/>
      <c r="D101" s="25"/>
      <c r="E101" s="25"/>
      <c r="F101" s="26"/>
    </row>
    <row r="102" spans="1:6" x14ac:dyDescent="0.25">
      <c r="A102" s="28"/>
      <c r="B102" s="25"/>
      <c r="C102" s="25"/>
      <c r="D102" s="25"/>
      <c r="E102" s="25"/>
      <c r="F102" s="26"/>
    </row>
    <row r="103" spans="1:6" x14ac:dyDescent="0.25">
      <c r="A103" s="28"/>
      <c r="B103" s="25"/>
      <c r="C103" s="25"/>
      <c r="D103" s="25"/>
      <c r="E103" s="25"/>
      <c r="F103" s="26"/>
    </row>
    <row r="104" spans="1:6" x14ac:dyDescent="0.25">
      <c r="A104" s="28"/>
      <c r="B104" s="25"/>
      <c r="C104" s="25"/>
      <c r="D104" s="25"/>
      <c r="E104" s="25"/>
      <c r="F104" s="26"/>
    </row>
    <row r="105" spans="1:6" x14ac:dyDescent="0.25">
      <c r="A105" s="28"/>
      <c r="B105" s="25"/>
      <c r="C105" s="25"/>
      <c r="D105" s="25"/>
      <c r="E105" s="25"/>
      <c r="F105" s="26"/>
    </row>
    <row r="106" spans="1:6" x14ac:dyDescent="0.25">
      <c r="A106" s="28"/>
      <c r="B106" s="25"/>
      <c r="C106" s="25"/>
      <c r="D106" s="25"/>
      <c r="E106" s="25"/>
      <c r="F106" s="26"/>
    </row>
    <row r="107" spans="1:6" x14ac:dyDescent="0.25">
      <c r="A107" s="28"/>
      <c r="B107" s="25"/>
      <c r="C107" s="25"/>
      <c r="D107" s="25"/>
      <c r="E107" s="25"/>
      <c r="F107" s="26"/>
    </row>
    <row r="108" spans="1:6" x14ac:dyDescent="0.25">
      <c r="A108" s="28"/>
      <c r="B108" s="25"/>
      <c r="C108" s="25"/>
      <c r="D108" s="25"/>
      <c r="E108" s="25"/>
      <c r="F108" s="26"/>
    </row>
    <row r="109" spans="1:6" x14ac:dyDescent="0.25">
      <c r="A109" s="28"/>
      <c r="B109" s="25"/>
      <c r="C109" s="25"/>
      <c r="D109" s="25"/>
      <c r="E109" s="25"/>
      <c r="F109" s="26"/>
    </row>
    <row r="110" spans="1:6" x14ac:dyDescent="0.25">
      <c r="A110" s="28"/>
      <c r="B110" s="25"/>
      <c r="C110" s="25"/>
      <c r="D110" s="25"/>
      <c r="E110" s="25"/>
      <c r="F110" s="26"/>
    </row>
    <row r="111" spans="1:6" x14ac:dyDescent="0.25">
      <c r="A111" s="28"/>
      <c r="B111" s="25"/>
      <c r="C111" s="25"/>
      <c r="D111" s="25"/>
      <c r="E111" s="25"/>
      <c r="F111" s="26"/>
    </row>
    <row r="112" spans="1:6" x14ac:dyDescent="0.25">
      <c r="A112" s="28"/>
      <c r="B112" s="25"/>
      <c r="C112" s="25"/>
      <c r="D112" s="25"/>
      <c r="E112" s="25"/>
      <c r="F112" s="26"/>
    </row>
    <row r="113" spans="1:6" x14ac:dyDescent="0.25">
      <c r="A113" s="28"/>
      <c r="B113" s="25"/>
      <c r="C113" s="25"/>
      <c r="D113" s="25"/>
      <c r="E113" s="25"/>
      <c r="F113" s="26"/>
    </row>
    <row r="114" spans="1:6" x14ac:dyDescent="0.25">
      <c r="A114" s="28"/>
      <c r="B114" s="25"/>
      <c r="C114" s="25"/>
      <c r="D114" s="25"/>
      <c r="E114" s="25"/>
      <c r="F114" s="26"/>
    </row>
    <row r="115" spans="1:6" x14ac:dyDescent="0.25">
      <c r="A115" s="28"/>
      <c r="B115" s="25"/>
      <c r="C115" s="25"/>
      <c r="D115" s="25"/>
      <c r="E115" s="25"/>
      <c r="F115" s="26"/>
    </row>
    <row r="116" spans="1:6" x14ac:dyDescent="0.25">
      <c r="A116" s="28"/>
      <c r="B116" s="25"/>
      <c r="C116" s="25"/>
      <c r="D116" s="25"/>
      <c r="E116" s="25"/>
      <c r="F116" s="26"/>
    </row>
    <row r="117" spans="1:6" x14ac:dyDescent="0.25">
      <c r="A117" s="28"/>
      <c r="B117" s="25"/>
      <c r="C117" s="25"/>
      <c r="D117" s="25"/>
      <c r="E117" s="25"/>
      <c r="F117" s="26"/>
    </row>
    <row r="118" spans="1:6" x14ac:dyDescent="0.25">
      <c r="A118" s="28"/>
      <c r="B118" s="25"/>
      <c r="C118" s="25"/>
      <c r="D118" s="25"/>
      <c r="E118" s="25"/>
      <c r="F118" s="26"/>
    </row>
    <row r="119" spans="1:6" x14ac:dyDescent="0.25">
      <c r="A119" s="28"/>
      <c r="B119" s="25"/>
      <c r="C119" s="25"/>
      <c r="D119" s="25"/>
      <c r="E119" s="25"/>
      <c r="F119" s="26"/>
    </row>
    <row r="120" spans="1:6" x14ac:dyDescent="0.25">
      <c r="A120" s="28"/>
      <c r="B120" s="25"/>
      <c r="C120" s="25"/>
      <c r="D120" s="25"/>
      <c r="E120" s="25"/>
      <c r="F120" s="26"/>
    </row>
    <row r="121" spans="1:6" x14ac:dyDescent="0.25">
      <c r="A121" s="28"/>
      <c r="B121" s="25"/>
      <c r="C121" s="25"/>
      <c r="D121" s="25"/>
      <c r="E121" s="25"/>
      <c r="F121" s="26"/>
    </row>
    <row r="122" spans="1:6" x14ac:dyDescent="0.25">
      <c r="A122" s="28"/>
      <c r="B122" s="25"/>
      <c r="C122" s="25"/>
      <c r="D122" s="25"/>
      <c r="E122" s="25"/>
      <c r="F122" s="26"/>
    </row>
    <row r="123" spans="1:6" x14ac:dyDescent="0.25">
      <c r="A123" s="28"/>
      <c r="B123" s="25"/>
      <c r="C123" s="25"/>
      <c r="D123" s="25"/>
      <c r="E123" s="25"/>
      <c r="F123" s="26"/>
    </row>
    <row r="124" spans="1:6" x14ac:dyDescent="0.25">
      <c r="A124" s="28"/>
      <c r="B124" s="25"/>
      <c r="C124" s="25"/>
      <c r="D124" s="25"/>
      <c r="E124" s="25"/>
      <c r="F124" s="26"/>
    </row>
    <row r="125" spans="1:6" x14ac:dyDescent="0.25">
      <c r="A125" s="28"/>
      <c r="B125" s="25"/>
      <c r="C125" s="25"/>
      <c r="D125" s="25"/>
      <c r="E125" s="25"/>
      <c r="F125" s="26"/>
    </row>
    <row r="126" spans="1:6" x14ac:dyDescent="0.25">
      <c r="A126" s="28"/>
      <c r="B126" s="25"/>
      <c r="C126" s="25"/>
      <c r="D126" s="25"/>
      <c r="E126" s="25"/>
      <c r="F126" s="26"/>
    </row>
    <row r="127" spans="1:6" x14ac:dyDescent="0.25">
      <c r="A127" s="28"/>
      <c r="B127" s="25"/>
      <c r="C127" s="25"/>
      <c r="D127" s="25"/>
      <c r="E127" s="25"/>
      <c r="F127" s="26"/>
    </row>
    <row r="128" spans="1:6" x14ac:dyDescent="0.25">
      <c r="A128" s="28"/>
      <c r="B128" s="25"/>
      <c r="C128" s="25"/>
      <c r="D128" s="25"/>
      <c r="E128" s="25"/>
      <c r="F128" s="26"/>
    </row>
    <row r="129" spans="1:6" x14ac:dyDescent="0.25">
      <c r="A129" s="28"/>
      <c r="B129" s="25"/>
      <c r="C129" s="25"/>
      <c r="D129" s="25"/>
      <c r="E129" s="25"/>
      <c r="F129" s="26"/>
    </row>
    <row r="130" spans="1:6" x14ac:dyDescent="0.25">
      <c r="A130" s="11"/>
      <c r="B130" s="4"/>
      <c r="C130" s="4"/>
      <c r="D130" s="4"/>
      <c r="E130" s="4"/>
      <c r="F130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5BEE-2F92-49D4-AB50-78F4A078631B}">
  <dimension ref="A1"/>
  <sheetViews>
    <sheetView showGridLines="0" topLeftCell="B1" workbookViewId="0">
      <selection activeCell="V11" sqref="V1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88D4-ACC1-4FC8-8F73-7A28AE994941}">
  <dimension ref="A1:E34"/>
  <sheetViews>
    <sheetView workbookViewId="0">
      <selection activeCell="K3" sqref="K3"/>
    </sheetView>
  </sheetViews>
  <sheetFormatPr defaultRowHeight="15" x14ac:dyDescent="0.25"/>
  <cols>
    <col min="1" max="1" width="13.5703125" customWidth="1"/>
    <col min="2" max="2" width="58.85546875" customWidth="1"/>
    <col min="3" max="3" width="17.42578125" customWidth="1"/>
  </cols>
  <sheetData>
    <row r="1" spans="1:5" x14ac:dyDescent="0.25">
      <c r="A1" s="40" t="s">
        <v>27</v>
      </c>
      <c r="B1" s="40"/>
      <c r="C1" s="40"/>
      <c r="D1" s="40"/>
      <c r="E1" s="40"/>
    </row>
    <row r="2" spans="1:5" x14ac:dyDescent="0.25">
      <c r="A2" s="23" t="s">
        <v>28</v>
      </c>
      <c r="B2" s="9" t="s">
        <v>30</v>
      </c>
      <c r="C2" s="9" t="s">
        <v>2</v>
      </c>
      <c r="D2" s="10" t="s">
        <v>31</v>
      </c>
      <c r="E2" s="10"/>
    </row>
    <row r="3" spans="1:5" x14ac:dyDescent="0.25">
      <c r="A3" s="23" t="s">
        <v>29</v>
      </c>
      <c r="B3" s="24"/>
      <c r="C3" s="10"/>
      <c r="D3" s="10"/>
      <c r="E3" s="10"/>
    </row>
    <row r="4" spans="1:5" x14ac:dyDescent="0.25">
      <c r="A4" s="23"/>
      <c r="B4" s="24"/>
      <c r="C4" s="10"/>
      <c r="D4" s="10"/>
      <c r="E4" s="10"/>
    </row>
    <row r="5" spans="1:5" x14ac:dyDescent="0.25">
      <c r="A5" s="23"/>
      <c r="B5" s="24"/>
      <c r="C5" s="10"/>
      <c r="D5" s="10"/>
      <c r="E5" s="10"/>
    </row>
    <row r="6" spans="1:5" x14ac:dyDescent="0.25">
      <c r="A6" s="23"/>
      <c r="B6" s="24"/>
      <c r="C6" s="10"/>
      <c r="D6" s="10"/>
      <c r="E6" s="10"/>
    </row>
    <row r="7" spans="1:5" x14ac:dyDescent="0.25">
      <c r="A7" s="23"/>
      <c r="B7" s="24"/>
      <c r="C7" s="10"/>
      <c r="D7" s="10"/>
      <c r="E7" s="10"/>
    </row>
    <row r="8" spans="1:5" x14ac:dyDescent="0.25">
      <c r="A8" s="23"/>
      <c r="B8" s="24"/>
      <c r="C8" s="10"/>
      <c r="D8" s="10"/>
      <c r="E8" s="10"/>
    </row>
    <row r="9" spans="1:5" x14ac:dyDescent="0.25">
      <c r="A9" s="23"/>
      <c r="B9" s="24"/>
      <c r="C9" s="10"/>
      <c r="D9" s="10"/>
      <c r="E9" s="10"/>
    </row>
    <row r="10" spans="1:5" x14ac:dyDescent="0.25">
      <c r="A10" s="23"/>
      <c r="B10" s="24"/>
      <c r="C10" s="10"/>
      <c r="D10" s="10"/>
      <c r="E10" s="10"/>
    </row>
    <row r="11" spans="1:5" x14ac:dyDescent="0.25">
      <c r="A11" s="23"/>
      <c r="B11" s="24"/>
      <c r="C11" s="10"/>
      <c r="D11" s="10"/>
      <c r="E11" s="10"/>
    </row>
    <row r="12" spans="1:5" x14ac:dyDescent="0.25">
      <c r="A12" s="23"/>
      <c r="B12" s="24"/>
      <c r="C12" s="10"/>
      <c r="D12" s="10"/>
      <c r="E12" s="10"/>
    </row>
    <row r="13" spans="1:5" x14ac:dyDescent="0.25">
      <c r="A13" s="23"/>
      <c r="B13" s="24"/>
      <c r="C13" s="10"/>
      <c r="D13" s="10"/>
      <c r="E13" s="10"/>
    </row>
    <row r="14" spans="1:5" x14ac:dyDescent="0.25">
      <c r="A14" s="23"/>
      <c r="B14" s="24"/>
      <c r="C14" s="10"/>
      <c r="D14" s="10"/>
      <c r="E14" s="10"/>
    </row>
    <row r="15" spans="1:5" x14ac:dyDescent="0.25">
      <c r="A15" s="23"/>
      <c r="B15" s="24"/>
      <c r="C15" s="10"/>
      <c r="D15" s="10"/>
      <c r="E15" s="10"/>
    </row>
    <row r="16" spans="1:5" x14ac:dyDescent="0.25">
      <c r="A16" s="23"/>
      <c r="B16" s="24"/>
      <c r="C16" s="10"/>
      <c r="D16" s="10"/>
      <c r="E16" s="10"/>
    </row>
    <row r="17" spans="1:5" x14ac:dyDescent="0.25">
      <c r="A17" s="23"/>
      <c r="B17" s="24"/>
      <c r="C17" s="10"/>
      <c r="D17" s="10"/>
      <c r="E17" s="10"/>
    </row>
    <row r="18" spans="1:5" x14ac:dyDescent="0.25">
      <c r="A18" s="23"/>
      <c r="B18" s="24"/>
      <c r="C18" s="10"/>
      <c r="D18" s="10"/>
      <c r="E18" s="10"/>
    </row>
    <row r="19" spans="1:5" x14ac:dyDescent="0.25">
      <c r="A19" s="23"/>
      <c r="B19" s="10"/>
      <c r="C19" s="10"/>
      <c r="D19" s="10"/>
      <c r="E19" s="10"/>
    </row>
    <row r="20" spans="1:5" x14ac:dyDescent="0.25">
      <c r="A20" s="10"/>
      <c r="B20" s="10"/>
      <c r="C20" s="10"/>
      <c r="D20" s="10"/>
      <c r="E20" s="10"/>
    </row>
    <row r="21" spans="1:5" x14ac:dyDescent="0.25">
      <c r="A21" s="10"/>
      <c r="B21" s="10"/>
      <c r="C21" s="10"/>
      <c r="D21" s="10"/>
      <c r="E21" s="10"/>
    </row>
    <row r="22" spans="1:5" x14ac:dyDescent="0.25">
      <c r="A22" s="10"/>
      <c r="B22" s="10"/>
      <c r="C22" s="10"/>
      <c r="D22" s="10"/>
      <c r="E22" s="10"/>
    </row>
    <row r="23" spans="1:5" x14ac:dyDescent="0.25">
      <c r="A23" s="10"/>
      <c r="B23" s="10"/>
      <c r="C23" s="10"/>
      <c r="D23" s="10"/>
      <c r="E23" s="10"/>
    </row>
    <row r="24" spans="1:5" x14ac:dyDescent="0.25">
      <c r="A24" s="10"/>
      <c r="B24" s="10"/>
      <c r="C24" s="10"/>
      <c r="D24" s="10"/>
      <c r="E24" s="10"/>
    </row>
    <row r="25" spans="1:5" x14ac:dyDescent="0.25">
      <c r="A25" s="10"/>
      <c r="B25" s="10"/>
      <c r="C25" s="10"/>
      <c r="D25" s="10"/>
      <c r="E25" s="10"/>
    </row>
    <row r="26" spans="1:5" x14ac:dyDescent="0.25">
      <c r="A26" s="10"/>
      <c r="B26" s="10"/>
      <c r="C26" s="10"/>
      <c r="D26" s="10"/>
      <c r="E26" s="10"/>
    </row>
    <row r="27" spans="1:5" x14ac:dyDescent="0.25">
      <c r="A27" s="10"/>
      <c r="B27" s="10"/>
      <c r="C27" s="10"/>
      <c r="D27" s="10"/>
      <c r="E27" s="10"/>
    </row>
    <row r="28" spans="1:5" x14ac:dyDescent="0.25">
      <c r="A28" s="10"/>
      <c r="B28" s="10"/>
      <c r="C28" s="10"/>
      <c r="D28" s="10"/>
      <c r="E28" s="10"/>
    </row>
    <row r="29" spans="1:5" x14ac:dyDescent="0.25">
      <c r="A29" s="10"/>
      <c r="B29" s="10"/>
      <c r="C29" s="10"/>
      <c r="D29" s="10"/>
      <c r="E29" s="10"/>
    </row>
    <row r="30" spans="1:5" x14ac:dyDescent="0.25">
      <c r="A30" s="10"/>
      <c r="B30" s="10"/>
      <c r="C30" s="10"/>
      <c r="D30" s="10"/>
      <c r="E30" s="10"/>
    </row>
    <row r="31" spans="1:5" x14ac:dyDescent="0.25">
      <c r="A31" s="10"/>
      <c r="B31" s="10"/>
      <c r="C31" s="10"/>
      <c r="D31" s="10"/>
      <c r="E31" s="10"/>
    </row>
    <row r="32" spans="1:5" x14ac:dyDescent="0.25">
      <c r="A32" s="10"/>
      <c r="B32" s="10"/>
      <c r="C32" s="10"/>
      <c r="D32" s="10"/>
      <c r="E32" s="10"/>
    </row>
    <row r="33" spans="1:5" x14ac:dyDescent="0.25">
      <c r="A33" s="10"/>
      <c r="B33" s="10"/>
      <c r="C33" s="10"/>
      <c r="D33" s="10"/>
      <c r="E33" s="10"/>
    </row>
    <row r="34" spans="1:5" x14ac:dyDescent="0.25">
      <c r="A34" s="10"/>
      <c r="B34" s="10"/>
      <c r="C34" s="10"/>
      <c r="D34" s="10"/>
      <c r="E34" s="10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CONTROLE .2</vt:lpstr>
      <vt:lpstr>Planilha3</vt:lpstr>
      <vt:lpstr>ANALISE</vt:lpstr>
      <vt:lpstr>MALA DIRETA ZAP</vt:lpstr>
      <vt:lpstr>DASHBORD</vt:lpstr>
      <vt:lpstr>MENSAGENS DO ZAP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Anisio Tadeu Storte Storte</dc:creator>
  <cp:lastModifiedBy>Auria  Tamiris de carvalho manoel</cp:lastModifiedBy>
  <dcterms:created xsi:type="dcterms:W3CDTF">2024-05-31T13:48:33Z</dcterms:created>
  <dcterms:modified xsi:type="dcterms:W3CDTF">2026-03-06T13:11:04Z</dcterms:modified>
</cp:coreProperties>
</file>